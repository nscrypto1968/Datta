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FY26 Trend" sheetId="2" state="visible" r:id="rId2"/>
    <sheet xmlns:r="http://schemas.openxmlformats.org/officeDocument/2006/relationships" name="Monthly Data" sheetId="3" state="visible" r:id="rId3"/>
    <sheet xmlns:r="http://schemas.openxmlformats.org/officeDocument/2006/relationships" name="Policy Triggers" sheetId="4" state="visible" r:id="rId4"/>
    <sheet xmlns:r="http://schemas.openxmlformats.org/officeDocument/2006/relationships" name="Bounce Analysis" sheetId="5" state="visible" r:id="rId5"/>
    <sheet xmlns:r="http://schemas.openxmlformats.org/officeDocument/2006/relationships" name="Monthly Risk Paper" sheetId="6" state="visible" r:id="rId6"/>
    <sheet xmlns:r="http://schemas.openxmlformats.org/officeDocument/2006/relationships" name="RMC Pack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b val="1"/>
      <color rgb="00FFFFFF"/>
    </font>
    <font>
      <b val="1"/>
      <color rgb="0017466B"/>
    </font>
    <font>
      <name val="Aptos Display"/>
      <b val="1"/>
      <color rgb="00FFFFFF"/>
      <sz val="15"/>
    </font>
    <font>
      <name val="Aptos"/>
      <b val="1"/>
      <color rgb="00FFFFFF"/>
      <sz val="10"/>
    </font>
    <font>
      <name val="Aptos"/>
      <color rgb="0025323A"/>
      <sz val="9"/>
    </font>
    <font>
      <name val="Aptos"/>
      <i val="1"/>
      <color rgb="0066737E"/>
      <sz val="9"/>
    </font>
  </fonts>
  <fills count="4">
    <fill>
      <patternFill/>
    </fill>
    <fill>
      <patternFill patternType="gray125"/>
    </fill>
    <fill>
      <patternFill patternType="solid">
        <fgColor rgb="0017466B"/>
      </patternFill>
    </fill>
    <fill>
      <patternFill patternType="solid">
        <fgColor rgb="002F759D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7" fillId="0" borderId="0" applyAlignment="1" pivotButton="0" quotePrefix="0" xfId="0">
      <alignment wrapText="1"/>
    </xf>
    <xf numFmtId="0" fontId="5" fillId="3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166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4CCCC"/>
        </patternFill>
      </fill>
    </dxf>
    <dxf>
      <font>
        <color rgb="00274E13"/>
      </font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AUM trend (₹ Cr)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6000">
              <a:solidFill>
                <a:srgbClr val="1746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'FY26 Trend'!$C$3:$G$3</f>
            </numRef>
          </cat>
          <val>
            <numRef>
              <f>'FY26 Trend'!$C$4:$G$4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Financial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Asset quality trend (%)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'FY26 Trend'!$C$3:$G$3</f>
            </numRef>
          </cat>
          <val>
            <numRef>
              <f>'FY26 Trend'!$C$12:$G$12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'FY26 Trend'!$C$3:$G$3</f>
            </numRef>
          </cat>
          <val>
            <numRef>
              <f>'FY26 Trend'!$C$13:$G$13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AUM by segment (₹ Cr)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Data'!$A$4:$A$39</f>
            </numRef>
          </cat>
          <val>
            <numRef>
              <f>'Monthly Data'!$C$4:$C$39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Bounce rates (monthly)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Data'!Q3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Data'!$A$4:$A$39</f>
            </numRef>
          </cat>
          <val>
            <numRef>
              <f>'Monthly Data'!$Q$4:$Q$39</f>
            </numRef>
          </val>
        </ser>
        <ser>
          <idx val="1"/>
          <order val="1"/>
          <tx>
            <strRef>
              <f>'Monthly Data'!R3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Data'!$A$4:$A$39</f>
            </numRef>
          </cat>
          <val>
            <numRef>
              <f>'Monthly Data'!$R$4:$R$39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41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7466B"/>
    <outlinePr summaryBelow="1" summaryRight="1"/>
    <pageSetUpPr/>
  </sheetPr>
  <dimension ref="A1:F9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0" customHeight="1">
      <c r="A1" s="1" t="inlineStr">
        <is>
          <t>Fedfina Risk Analyst Internship Workbook</t>
        </is>
      </c>
    </row>
    <row r="2">
      <c r="A2" s="2" t="inlineStr">
        <is>
          <t>Topic</t>
        </is>
      </c>
      <c r="B2" s="2" t="inlineStr">
        <is>
          <t>Guidance</t>
        </is>
      </c>
      <c r="C2" s="2" t="n"/>
      <c r="D2" s="2" t="n"/>
      <c r="E2" s="2" t="n"/>
      <c r="F2" s="2" t="n"/>
    </row>
    <row r="3" ht="33" customHeight="1">
      <c r="A3" s="3" t="inlineStr">
        <is>
          <t>Purpose</t>
        </is>
      </c>
      <c r="B3" s="4" t="inlineStr">
        <is>
          <t>Blank academic templates for monthly graphs/EWS, policy triggers, bounce analysis, risk papers and quarterly RMC preparation.</t>
        </is>
      </c>
    </row>
    <row r="4" ht="33" customHeight="1">
      <c r="A4" s="3" t="inlineStr">
        <is>
          <t>Company-data year</t>
        </is>
      </c>
      <c r="B4" s="4" t="inlineStr">
        <is>
          <t>FY2025–26 annual-report trend data is included on the FY26 Trend tab; FY26 is the primary analytical period.</t>
        </is>
      </c>
    </row>
    <row r="5" ht="33" customHeight="1">
      <c r="A5" s="3" t="inlineStr">
        <is>
          <t>No invented MIS</t>
        </is>
      </c>
      <c r="B5" s="4" t="inlineStr">
        <is>
          <t>Monthly, bounce and internal policy values are intentionally blank. No borrower-level data or internal thresholds were supplied.</t>
        </is>
      </c>
    </row>
    <row r="6" ht="33" customHeight="1">
      <c r="A6" s="3" t="inlineStr">
        <is>
          <t>Confidentiality</t>
        </is>
      </c>
      <c r="B6" s="4" t="inlineStr">
        <is>
          <t>Populate only in an authorised environment with approved, minimised data. Do not commit confidential workbooks to Git.</t>
        </is>
      </c>
    </row>
    <row r="7" ht="33" customHeight="1">
      <c r="A7" s="3" t="inlineStr">
        <is>
          <t>Metric definitions</t>
        </is>
      </c>
      <c r="B7" s="4" t="inlineStr">
        <is>
          <t>Confirm source, cut-off, denominator, retry rules and policy version before use. The approved Fedfina definitions take precedence.</t>
        </is>
      </c>
    </row>
    <row r="8" ht="33" customHeight="1">
      <c r="A8" s="3" t="inlineStr">
        <is>
          <t>Workbook limitation</t>
        </is>
      </c>
      <c r="B8" s="4" t="inlineStr">
        <is>
          <t>Formulas are templates and must be checked against company systems and reporting rules before operational use.</t>
        </is>
      </c>
    </row>
    <row r="9" ht="33" customHeight="1">
      <c r="A9" s="3" t="inlineStr">
        <is>
          <t>Student</t>
        </is>
      </c>
      <c r="B9" s="4" t="inlineStr">
        <is>
          <t>Dattaguru Patil · Roll No. M16144 · Risk Analyst Intern · 4 Apr–3 Jul 2026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66B"/>
    <outlinePr summaryBelow="1" summaryRight="1"/>
    <pageSetUpPr fitToPage="1"/>
  </sheetPr>
  <dimension ref="A1:H1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7" customHeight="1">
      <c r="A1" s="5" t="inlineStr">
        <is>
          <t>Company-Reported Five-Year Trend | ₹ crore unless noted</t>
        </is>
      </c>
    </row>
    <row r="2" ht="30" customHeight="1">
      <c r="A2" s="6" t="inlineStr">
        <is>
          <t>Source: Fedfina Annual Report 2025–26, supplied PDF pp.14–15. Latest series used consistently; historical definitions may differ from prior reports.</t>
        </is>
      </c>
    </row>
    <row r="3" ht="34" customHeight="1">
      <c r="A3" s="7" t="inlineStr">
        <is>
          <t>Metric</t>
        </is>
      </c>
      <c r="B3" s="7" t="inlineStr">
        <is>
          <t>Unit</t>
        </is>
      </c>
      <c r="C3" s="7" t="inlineStr">
        <is>
          <t>FY22</t>
        </is>
      </c>
      <c r="D3" s="7" t="inlineStr">
        <is>
          <t>FY23</t>
        </is>
      </c>
      <c r="E3" s="7" t="inlineStr">
        <is>
          <t>FY24</t>
        </is>
      </c>
      <c r="F3" s="7" t="inlineStr">
        <is>
          <t>FY25</t>
        </is>
      </c>
      <c r="G3" s="7" t="inlineStr">
        <is>
          <t>FY26</t>
        </is>
      </c>
      <c r="H3" s="7" t="inlineStr">
        <is>
          <t>FY26 YoY</t>
        </is>
      </c>
    </row>
    <row r="4">
      <c r="A4" s="8" t="inlineStr">
        <is>
          <t>AUM</t>
        </is>
      </c>
      <c r="B4" s="8" t="inlineStr">
        <is>
          <t>₹ Cr</t>
        </is>
      </c>
      <c r="C4" s="9" t="n">
        <v>6187.2</v>
      </c>
      <c r="D4" s="9" t="n">
        <v>9069.6</v>
      </c>
      <c r="E4" s="9" t="n">
        <v>12191.9</v>
      </c>
      <c r="F4" s="9" t="n">
        <v>15811.5</v>
      </c>
      <c r="G4" s="9" t="n">
        <v>20153</v>
      </c>
      <c r="H4" s="10">
        <f>IFERROR((G4/F4)-1,"")</f>
        <v/>
      </c>
    </row>
    <row r="5">
      <c r="A5" s="8" t="inlineStr">
        <is>
          <t>PAT</t>
        </is>
      </c>
      <c r="B5" s="8" t="inlineStr">
        <is>
          <t>₹ Cr</t>
        </is>
      </c>
      <c r="C5" s="9" t="n">
        <v>103.5</v>
      </c>
      <c r="D5" s="9" t="n">
        <v>180.1</v>
      </c>
      <c r="E5" s="9" t="n">
        <v>244.7</v>
      </c>
      <c r="F5" s="9" t="n">
        <v>225.2</v>
      </c>
      <c r="G5" s="9" t="n">
        <v>343.6</v>
      </c>
      <c r="H5" s="10">
        <f>IFERROR((G5/F5)-1,"")</f>
        <v/>
      </c>
    </row>
    <row r="6">
      <c r="A6" s="8" t="inlineStr">
        <is>
          <t>Yield</t>
        </is>
      </c>
      <c r="B6" s="8" t="inlineStr">
        <is>
          <t>%</t>
        </is>
      </c>
      <c r="C6" s="11" t="n">
        <v>16</v>
      </c>
      <c r="D6" s="11" t="n">
        <v>16.1</v>
      </c>
      <c r="E6" s="11" t="n">
        <v>16.7</v>
      </c>
      <c r="F6" s="11" t="n">
        <v>17.1</v>
      </c>
      <c r="G6" s="11" t="n">
        <v>16.7</v>
      </c>
      <c r="H6" s="10">
        <f>IFERROR((G6/F6)-1,"")</f>
        <v/>
      </c>
    </row>
    <row r="7">
      <c r="A7" s="8" t="inlineStr">
        <is>
          <t>Spread</t>
        </is>
      </c>
      <c r="B7" s="8" t="inlineStr">
        <is>
          <t>%</t>
        </is>
      </c>
      <c r="C7" s="11" t="n">
        <v>8.199999999999999</v>
      </c>
      <c r="D7" s="11" t="n">
        <v>8.300000000000001</v>
      </c>
      <c r="E7" s="11" t="n">
        <v>8.1</v>
      </c>
      <c r="F7" s="11" t="n">
        <v>8.199999999999999</v>
      </c>
      <c r="G7" s="11" t="n">
        <v>8.6</v>
      </c>
      <c r="H7" s="10">
        <f>IFERROR((G7/F7)-1,"")</f>
        <v/>
      </c>
    </row>
    <row r="8">
      <c r="A8" s="8" t="inlineStr">
        <is>
          <t>Cost of borrowings</t>
        </is>
      </c>
      <c r="B8" s="8" t="inlineStr">
        <is>
          <t>%</t>
        </is>
      </c>
      <c r="C8" s="11" t="n">
        <v>7.8</v>
      </c>
      <c r="D8" s="11" t="n">
        <v>7.8</v>
      </c>
      <c r="E8" s="11" t="n">
        <v>8.6</v>
      </c>
      <c r="F8" s="11" t="n">
        <v>9</v>
      </c>
      <c r="G8" s="11" t="n">
        <v>8.1</v>
      </c>
      <c r="H8" s="10">
        <f>IFERROR((G8/F8)-1,"")</f>
        <v/>
      </c>
    </row>
    <row r="9">
      <c r="A9" s="8" t="inlineStr">
        <is>
          <t>Cost-to-income</t>
        </is>
      </c>
      <c r="B9" s="8" t="inlineStr">
        <is>
          <t>%</t>
        </is>
      </c>
      <c r="C9" s="11" t="n">
        <v>58.4</v>
      </c>
      <c r="D9" s="11" t="n">
        <v>58.6</v>
      </c>
      <c r="E9" s="11" t="n">
        <v>58.2</v>
      </c>
      <c r="F9" s="11" t="n">
        <v>57.6</v>
      </c>
      <c r="G9" s="11" t="n">
        <v>57.2</v>
      </c>
      <c r="H9" s="10">
        <f>IFERROR((G9/F9)-1,"")</f>
        <v/>
      </c>
    </row>
    <row r="10">
      <c r="A10" s="8" t="inlineStr">
        <is>
          <t>ROA</t>
        </is>
      </c>
      <c r="B10" s="8" t="inlineStr">
        <is>
          <t>%</t>
        </is>
      </c>
      <c r="C10" s="11" t="n">
        <v>1.7</v>
      </c>
      <c r="D10" s="11" t="n">
        <v>2.3</v>
      </c>
      <c r="E10" s="11" t="n">
        <v>2.4</v>
      </c>
      <c r="F10" s="11" t="n">
        <v>1.8</v>
      </c>
      <c r="G10" s="11" t="n">
        <v>2.4</v>
      </c>
      <c r="H10" s="10">
        <f>IFERROR((G10/F10)-1,"")</f>
        <v/>
      </c>
    </row>
    <row r="11">
      <c r="A11" s="8" t="inlineStr">
        <is>
          <t>ROE</t>
        </is>
      </c>
      <c r="B11" s="8" t="inlineStr">
        <is>
          <t>%</t>
        </is>
      </c>
      <c r="C11" s="11" t="n">
        <v>10.4</v>
      </c>
      <c r="D11" s="11" t="n">
        <v>14.4</v>
      </c>
      <c r="E11" s="11" t="n">
        <v>13.5</v>
      </c>
      <c r="F11" s="11" t="n">
        <v>9.4</v>
      </c>
      <c r="G11" s="11" t="n">
        <v>12.6</v>
      </c>
      <c r="H11" s="10">
        <f>IFERROR((G11/F11)-1,"")</f>
        <v/>
      </c>
    </row>
    <row r="12">
      <c r="A12" s="8" t="inlineStr">
        <is>
          <t>GNPA</t>
        </is>
      </c>
      <c r="B12" s="8" t="inlineStr">
        <is>
          <t>%</t>
        </is>
      </c>
      <c r="C12" s="11" t="n">
        <v>2.2</v>
      </c>
      <c r="D12" s="11" t="n">
        <v>2</v>
      </c>
      <c r="E12" s="11" t="n">
        <v>1.7</v>
      </c>
      <c r="F12" s="11" t="n">
        <v>2</v>
      </c>
      <c r="G12" s="11" t="n">
        <v>1.9</v>
      </c>
      <c r="H12" s="10">
        <f>IFERROR((G12/F12)-1,"")</f>
        <v/>
      </c>
    </row>
    <row r="13">
      <c r="A13" s="8" t="inlineStr">
        <is>
          <t>NNPA</t>
        </is>
      </c>
      <c r="B13" s="8" t="inlineStr">
        <is>
          <t>%</t>
        </is>
      </c>
      <c r="C13" s="11" t="n">
        <v>1.8</v>
      </c>
      <c r="D13" s="11" t="n">
        <v>1.6</v>
      </c>
      <c r="E13" s="11" t="n">
        <v>1.3</v>
      </c>
      <c r="F13" s="11" t="n">
        <v>1.2</v>
      </c>
      <c r="G13" s="11" t="n">
        <v>1.3</v>
      </c>
      <c r="H13" s="10">
        <f>IFERROR((G13/F13)-1,"")</f>
        <v/>
      </c>
    </row>
    <row r="14">
      <c r="A14" s="8" t="inlineStr">
        <is>
          <t>Provision coverage</t>
        </is>
      </c>
      <c r="B14" s="8" t="inlineStr">
        <is>
          <t>%</t>
        </is>
      </c>
      <c r="C14" s="11" t="n">
        <v>22.1</v>
      </c>
      <c r="D14" s="11" t="n">
        <v>22.2</v>
      </c>
      <c r="E14" s="11" t="n">
        <v>20.4</v>
      </c>
      <c r="F14" s="11" t="n">
        <v>40</v>
      </c>
      <c r="G14" s="11" t="n">
        <v>32.3</v>
      </c>
      <c r="H14" s="10">
        <f>IFERROR((G14/F14)-1,"")</f>
        <v/>
      </c>
    </row>
    <row r="15">
      <c r="A15" s="8" t="inlineStr">
        <is>
          <t>CRAR</t>
        </is>
      </c>
      <c r="B15" s="8" t="inlineStr">
        <is>
          <t>%</t>
        </is>
      </c>
      <c r="C15" s="11" t="n">
        <v>23</v>
      </c>
      <c r="D15" s="11" t="n">
        <v>17.9</v>
      </c>
      <c r="E15" s="11" t="n">
        <v>23.5</v>
      </c>
      <c r="F15" s="11" t="n">
        <v>21.9</v>
      </c>
      <c r="G15" s="11" t="n">
        <v>22.4</v>
      </c>
      <c r="H15" s="10">
        <f>IFERROR((G15/F15)-1,"")</f>
        <v/>
      </c>
    </row>
  </sheetData>
  <mergeCells count="2">
    <mergeCell ref="A2:H2"/>
    <mergeCell ref="A1:H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7466B"/>
    <outlinePr summaryBelow="1" summaryRight="1"/>
    <pageSetUpPr fitToPage="1"/>
  </sheetPr>
  <dimension ref="A1:T3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7" customWidth="1" min="4" max="4"/>
    <col width="19" customWidth="1" min="5" max="5"/>
    <col width="21" customWidth="1" min="6" max="6"/>
    <col width="20" customWidth="1" min="7" max="7"/>
    <col width="21" customWidth="1" min="8" max="8"/>
    <col width="20" customWidth="1" min="9" max="9"/>
    <col width="19" customWidth="1" min="10" max="10"/>
    <col width="13" customWidth="1" min="11" max="11"/>
    <col width="13" customWidth="1" min="12" max="12"/>
    <col width="13" customWidth="1" min="13" max="13"/>
    <col width="17" customWidth="1" min="14" max="14"/>
    <col width="15" customWidth="1" min="15" max="15"/>
    <col width="22" customWidth="1" min="16" max="16"/>
    <col width="19" customWidth="1" min="17" max="17"/>
    <col width="21" customWidth="1" min="18" max="18"/>
    <col width="20" customWidth="1" min="19" max="19"/>
    <col width="34" customWidth="1" min="20" max="20"/>
  </cols>
  <sheetData>
    <row r="1" ht="27" customHeight="1">
      <c r="A1" s="5" t="inlineStr">
        <is>
          <t>Monthly Risk Dashboard Input | Populate only from authorised MIS</t>
        </is>
      </c>
    </row>
    <row r="2">
      <c r="A2" s="6" t="inlineStr">
        <is>
          <t>Blank by design. Confirm definitions, period cut-off, retry handling, source owner and policy version before use.</t>
        </is>
      </c>
    </row>
    <row r="3" ht="34" customHeight="1">
      <c r="A3" s="7" t="inlineStr">
        <is>
          <t>Month</t>
        </is>
      </c>
      <c r="B3" s="7" t="inlineStr">
        <is>
          <t>Product / segment</t>
        </is>
      </c>
      <c r="C3" s="7" t="inlineStr">
        <is>
          <t>AUM (₹ Cr)</t>
        </is>
      </c>
      <c r="D3" s="7" t="inlineStr">
        <is>
          <t>Disbursals (₹ Cr)</t>
        </is>
      </c>
      <c r="E3" s="7" t="inlineStr">
        <is>
          <t>Collections due (₹ Cr)</t>
        </is>
      </c>
      <c r="F3" s="7" t="inlineStr">
        <is>
          <t>Collections received (₹ Cr)</t>
        </is>
      </c>
      <c r="G3" s="7" t="inlineStr">
        <is>
          <t>Valid presentments (#)</t>
        </is>
      </c>
      <c r="H3" s="7" t="inlineStr">
        <is>
          <t>Bounced presentments (#)</t>
        </is>
      </c>
      <c r="I3" s="7" t="inlineStr">
        <is>
          <t>Amount presented (₹)</t>
        </is>
      </c>
      <c r="J3" s="7" t="inlineStr">
        <is>
          <t>Amount returned (₹)</t>
        </is>
      </c>
      <c r="K3" s="7" t="inlineStr">
        <is>
          <t>GNPA (%)</t>
        </is>
      </c>
      <c r="L3" s="7" t="inlineStr">
        <is>
          <t>NNPA (%)</t>
        </is>
      </c>
      <c r="M3" s="7" t="inlineStr">
        <is>
          <t>Stage 2 (%)</t>
        </is>
      </c>
      <c r="N3" s="7" t="inlineStr">
        <is>
          <t>Cost of funds (%)</t>
        </is>
      </c>
      <c r="O3" s="7" t="inlineStr">
        <is>
          <t>Credit cost (%)</t>
        </is>
      </c>
      <c r="P3" s="7" t="inlineStr">
        <is>
          <t>Collection efficiency (%)</t>
        </is>
      </c>
      <c r="Q3" s="7" t="inlineStr">
        <is>
          <t>Count bounce rate (%)</t>
        </is>
      </c>
      <c r="R3" s="7" t="inlineStr">
        <is>
          <t>Amount bounce rate (%)</t>
        </is>
      </c>
      <c r="S3" s="7" t="inlineStr">
        <is>
          <t>Source / owner</t>
        </is>
      </c>
      <c r="T3" s="7" t="inlineStr">
        <is>
          <t>Comments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3" t="n"/>
      <c r="L4" s="13" t="n"/>
      <c r="M4" s="13" t="n"/>
      <c r="N4" s="13" t="n"/>
      <c r="O4" s="13" t="n"/>
      <c r="P4" s="10">
        <f>IF(OR(E4="",F4=""),"",IFERROR(F4/E4,""))</f>
        <v/>
      </c>
      <c r="Q4" s="10">
        <f>IF(OR(G4="",H4=""),"",IFERROR(H4/G4,""))</f>
        <v/>
      </c>
      <c r="R4" s="10">
        <f>IF(OR(I4="",J4=""),"",IFERROR(J4/I4,""))</f>
        <v/>
      </c>
      <c r="S4" s="12" t="n"/>
      <c r="T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3" t="n"/>
      <c r="L5" s="13" t="n"/>
      <c r="M5" s="13" t="n"/>
      <c r="N5" s="13" t="n"/>
      <c r="O5" s="13" t="n"/>
      <c r="P5" s="10">
        <f>IF(OR(E5="",F5=""),"",IFERROR(F5/E5,""))</f>
        <v/>
      </c>
      <c r="Q5" s="10">
        <f>IF(OR(G5="",H5=""),"",IFERROR(H5/G5,""))</f>
        <v/>
      </c>
      <c r="R5" s="10">
        <f>IF(OR(I5="",J5=""),"",IFERROR(J5/I5,""))</f>
        <v/>
      </c>
      <c r="S5" s="12" t="n"/>
      <c r="T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3" t="n"/>
      <c r="L6" s="13" t="n"/>
      <c r="M6" s="13" t="n"/>
      <c r="N6" s="13" t="n"/>
      <c r="O6" s="13" t="n"/>
      <c r="P6" s="10">
        <f>IF(OR(E6="",F6=""),"",IFERROR(F6/E6,""))</f>
        <v/>
      </c>
      <c r="Q6" s="10">
        <f>IF(OR(G6="",H6=""),"",IFERROR(H6/G6,""))</f>
        <v/>
      </c>
      <c r="R6" s="10">
        <f>IF(OR(I6="",J6=""),"",IFERROR(J6/I6,""))</f>
        <v/>
      </c>
      <c r="S6" s="12" t="n"/>
      <c r="T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3" t="n"/>
      <c r="L7" s="13" t="n"/>
      <c r="M7" s="13" t="n"/>
      <c r="N7" s="13" t="n"/>
      <c r="O7" s="13" t="n"/>
      <c r="P7" s="10">
        <f>IF(OR(E7="",F7=""),"",IFERROR(F7/E7,""))</f>
        <v/>
      </c>
      <c r="Q7" s="10">
        <f>IF(OR(G7="",H7=""),"",IFERROR(H7/G7,""))</f>
        <v/>
      </c>
      <c r="R7" s="10">
        <f>IF(OR(I7="",J7=""),"",IFERROR(J7/I7,""))</f>
        <v/>
      </c>
      <c r="S7" s="12" t="n"/>
      <c r="T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3" t="n"/>
      <c r="L8" s="13" t="n"/>
      <c r="M8" s="13" t="n"/>
      <c r="N8" s="13" t="n"/>
      <c r="O8" s="13" t="n"/>
      <c r="P8" s="10">
        <f>IF(OR(E8="",F8=""),"",IFERROR(F8/E8,""))</f>
        <v/>
      </c>
      <c r="Q8" s="10">
        <f>IF(OR(G8="",H8=""),"",IFERROR(H8/G8,""))</f>
        <v/>
      </c>
      <c r="R8" s="10">
        <f>IF(OR(I8="",J8=""),"",IFERROR(J8/I8,""))</f>
        <v/>
      </c>
      <c r="S8" s="12" t="n"/>
      <c r="T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3" t="n"/>
      <c r="L9" s="13" t="n"/>
      <c r="M9" s="13" t="n"/>
      <c r="N9" s="13" t="n"/>
      <c r="O9" s="13" t="n"/>
      <c r="P9" s="10">
        <f>IF(OR(E9="",F9=""),"",IFERROR(F9/E9,""))</f>
        <v/>
      </c>
      <c r="Q9" s="10">
        <f>IF(OR(G9="",H9=""),"",IFERROR(H9/G9,""))</f>
        <v/>
      </c>
      <c r="R9" s="10">
        <f>IF(OR(I9="",J9=""),"",IFERROR(J9/I9,""))</f>
        <v/>
      </c>
      <c r="S9" s="12" t="n"/>
      <c r="T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3" t="n"/>
      <c r="L10" s="13" t="n"/>
      <c r="M10" s="13" t="n"/>
      <c r="N10" s="13" t="n"/>
      <c r="O10" s="13" t="n"/>
      <c r="P10" s="10">
        <f>IF(OR(E10="",F10=""),"",IFERROR(F10/E10,""))</f>
        <v/>
      </c>
      <c r="Q10" s="10">
        <f>IF(OR(G10="",H10=""),"",IFERROR(H10/G10,""))</f>
        <v/>
      </c>
      <c r="R10" s="10">
        <f>IF(OR(I10="",J10=""),"",IFERROR(J10/I10,""))</f>
        <v/>
      </c>
      <c r="S10" s="12" t="n"/>
      <c r="T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3" t="n"/>
      <c r="L11" s="13" t="n"/>
      <c r="M11" s="13" t="n"/>
      <c r="N11" s="13" t="n"/>
      <c r="O11" s="13" t="n"/>
      <c r="P11" s="10">
        <f>IF(OR(E11="",F11=""),"",IFERROR(F11/E11,""))</f>
        <v/>
      </c>
      <c r="Q11" s="10">
        <f>IF(OR(G11="",H11=""),"",IFERROR(H11/G11,""))</f>
        <v/>
      </c>
      <c r="R11" s="10">
        <f>IF(OR(I11="",J11=""),"",IFERROR(J11/I11,""))</f>
        <v/>
      </c>
      <c r="S11" s="12" t="n"/>
      <c r="T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3" t="n"/>
      <c r="L12" s="13" t="n"/>
      <c r="M12" s="13" t="n"/>
      <c r="N12" s="13" t="n"/>
      <c r="O12" s="13" t="n"/>
      <c r="P12" s="10">
        <f>IF(OR(E12="",F12=""),"",IFERROR(F12/E12,""))</f>
        <v/>
      </c>
      <c r="Q12" s="10">
        <f>IF(OR(G12="",H12=""),"",IFERROR(H12/G12,""))</f>
        <v/>
      </c>
      <c r="R12" s="10">
        <f>IF(OR(I12="",J12=""),"",IFERROR(J12/I12,""))</f>
        <v/>
      </c>
      <c r="S12" s="12" t="n"/>
      <c r="T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3" t="n"/>
      <c r="M13" s="13" t="n"/>
      <c r="N13" s="13" t="n"/>
      <c r="O13" s="13" t="n"/>
      <c r="P13" s="10">
        <f>IF(OR(E13="",F13=""),"",IFERROR(F13/E13,""))</f>
        <v/>
      </c>
      <c r="Q13" s="10">
        <f>IF(OR(G13="",H13=""),"",IFERROR(H13/G13,""))</f>
        <v/>
      </c>
      <c r="R13" s="10">
        <f>IF(OR(I13="",J13=""),"",IFERROR(J13/I13,""))</f>
        <v/>
      </c>
      <c r="S13" s="12" t="n"/>
      <c r="T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3" t="n"/>
      <c r="L14" s="13" t="n"/>
      <c r="M14" s="13" t="n"/>
      <c r="N14" s="13" t="n"/>
      <c r="O14" s="13" t="n"/>
      <c r="P14" s="10">
        <f>IF(OR(E14="",F14=""),"",IFERROR(F14/E14,""))</f>
        <v/>
      </c>
      <c r="Q14" s="10">
        <f>IF(OR(G14="",H14=""),"",IFERROR(H14/G14,""))</f>
        <v/>
      </c>
      <c r="R14" s="10">
        <f>IF(OR(I14="",J14=""),"",IFERROR(J14/I14,""))</f>
        <v/>
      </c>
      <c r="S14" s="12" t="n"/>
      <c r="T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3" t="n"/>
      <c r="M15" s="13" t="n"/>
      <c r="N15" s="13" t="n"/>
      <c r="O15" s="13" t="n"/>
      <c r="P15" s="10">
        <f>IF(OR(E15="",F15=""),"",IFERROR(F15/E15,""))</f>
        <v/>
      </c>
      <c r="Q15" s="10">
        <f>IF(OR(G15="",H15=""),"",IFERROR(H15/G15,""))</f>
        <v/>
      </c>
      <c r="R15" s="10">
        <f>IF(OR(I15="",J15=""),"",IFERROR(J15/I15,""))</f>
        <v/>
      </c>
      <c r="S15" s="12" t="n"/>
      <c r="T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3" t="n"/>
      <c r="L16" s="13" t="n"/>
      <c r="M16" s="13" t="n"/>
      <c r="N16" s="13" t="n"/>
      <c r="O16" s="13" t="n"/>
      <c r="P16" s="10">
        <f>IF(OR(E16="",F16=""),"",IFERROR(F16/E16,""))</f>
        <v/>
      </c>
      <c r="Q16" s="10">
        <f>IF(OR(G16="",H16=""),"",IFERROR(H16/G16,""))</f>
        <v/>
      </c>
      <c r="R16" s="10">
        <f>IF(OR(I16="",J16=""),"",IFERROR(J16/I16,""))</f>
        <v/>
      </c>
      <c r="S16" s="12" t="n"/>
      <c r="T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3" t="n"/>
      <c r="M17" s="13" t="n"/>
      <c r="N17" s="13" t="n"/>
      <c r="O17" s="13" t="n"/>
      <c r="P17" s="10">
        <f>IF(OR(E17="",F17=""),"",IFERROR(F17/E17,""))</f>
        <v/>
      </c>
      <c r="Q17" s="10">
        <f>IF(OR(G17="",H17=""),"",IFERROR(H17/G17,""))</f>
        <v/>
      </c>
      <c r="R17" s="10">
        <f>IF(OR(I17="",J17=""),"",IFERROR(J17/I17,""))</f>
        <v/>
      </c>
      <c r="S17" s="12" t="n"/>
      <c r="T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3" t="n"/>
      <c r="L18" s="13" t="n"/>
      <c r="M18" s="13" t="n"/>
      <c r="N18" s="13" t="n"/>
      <c r="O18" s="13" t="n"/>
      <c r="P18" s="10">
        <f>IF(OR(E18="",F18=""),"",IFERROR(F18/E18,""))</f>
        <v/>
      </c>
      <c r="Q18" s="10">
        <f>IF(OR(G18="",H18=""),"",IFERROR(H18/G18,""))</f>
        <v/>
      </c>
      <c r="R18" s="10">
        <f>IF(OR(I18="",J18=""),"",IFERROR(J18/I18,""))</f>
        <v/>
      </c>
      <c r="S18" s="12" t="n"/>
      <c r="T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3" t="n"/>
      <c r="M19" s="13" t="n"/>
      <c r="N19" s="13" t="n"/>
      <c r="O19" s="13" t="n"/>
      <c r="P19" s="10">
        <f>IF(OR(E19="",F19=""),"",IFERROR(F19/E19,""))</f>
        <v/>
      </c>
      <c r="Q19" s="10">
        <f>IF(OR(G19="",H19=""),"",IFERROR(H19/G19,""))</f>
        <v/>
      </c>
      <c r="R19" s="10">
        <f>IF(OR(I19="",J19=""),"",IFERROR(J19/I19,""))</f>
        <v/>
      </c>
      <c r="S19" s="12" t="n"/>
      <c r="T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3" t="n"/>
      <c r="L20" s="13" t="n"/>
      <c r="M20" s="13" t="n"/>
      <c r="N20" s="13" t="n"/>
      <c r="O20" s="13" t="n"/>
      <c r="P20" s="10">
        <f>IF(OR(E20="",F20=""),"",IFERROR(F20/E20,""))</f>
        <v/>
      </c>
      <c r="Q20" s="10">
        <f>IF(OR(G20="",H20=""),"",IFERROR(H20/G20,""))</f>
        <v/>
      </c>
      <c r="R20" s="10">
        <f>IF(OR(I20="",J20=""),"",IFERROR(J20/I20,""))</f>
        <v/>
      </c>
      <c r="S20" s="12" t="n"/>
      <c r="T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3" t="n"/>
      <c r="M21" s="13" t="n"/>
      <c r="N21" s="13" t="n"/>
      <c r="O21" s="13" t="n"/>
      <c r="P21" s="10">
        <f>IF(OR(E21="",F21=""),"",IFERROR(F21/E21,""))</f>
        <v/>
      </c>
      <c r="Q21" s="10">
        <f>IF(OR(G21="",H21=""),"",IFERROR(H21/G21,""))</f>
        <v/>
      </c>
      <c r="R21" s="10">
        <f>IF(OR(I21="",J21=""),"",IFERROR(J21/I21,""))</f>
        <v/>
      </c>
      <c r="S21" s="12" t="n"/>
      <c r="T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3" t="n"/>
      <c r="L22" s="13" t="n"/>
      <c r="M22" s="13" t="n"/>
      <c r="N22" s="13" t="n"/>
      <c r="O22" s="13" t="n"/>
      <c r="P22" s="10">
        <f>IF(OR(E22="",F22=""),"",IFERROR(F22/E22,""))</f>
        <v/>
      </c>
      <c r="Q22" s="10">
        <f>IF(OR(G22="",H22=""),"",IFERROR(H22/G22,""))</f>
        <v/>
      </c>
      <c r="R22" s="10">
        <f>IF(OR(I22="",J22=""),"",IFERROR(J22/I22,""))</f>
        <v/>
      </c>
      <c r="S22" s="12" t="n"/>
      <c r="T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3" t="n"/>
      <c r="M23" s="13" t="n"/>
      <c r="N23" s="13" t="n"/>
      <c r="O23" s="13" t="n"/>
      <c r="P23" s="10">
        <f>IF(OR(E23="",F23=""),"",IFERROR(F23/E23,""))</f>
        <v/>
      </c>
      <c r="Q23" s="10">
        <f>IF(OR(G23="",H23=""),"",IFERROR(H23/G23,""))</f>
        <v/>
      </c>
      <c r="R23" s="10">
        <f>IF(OR(I23="",J23=""),"",IFERROR(J23/I23,""))</f>
        <v/>
      </c>
      <c r="S23" s="12" t="n"/>
      <c r="T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3" t="n"/>
      <c r="L24" s="13" t="n"/>
      <c r="M24" s="13" t="n"/>
      <c r="N24" s="13" t="n"/>
      <c r="O24" s="13" t="n"/>
      <c r="P24" s="10">
        <f>IF(OR(E24="",F24=""),"",IFERROR(F24/E24,""))</f>
        <v/>
      </c>
      <c r="Q24" s="10">
        <f>IF(OR(G24="",H24=""),"",IFERROR(H24/G24,""))</f>
        <v/>
      </c>
      <c r="R24" s="10">
        <f>IF(OR(I24="",J24=""),"",IFERROR(J24/I24,""))</f>
        <v/>
      </c>
      <c r="S24" s="12" t="n"/>
      <c r="T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3" t="n"/>
      <c r="M25" s="13" t="n"/>
      <c r="N25" s="13" t="n"/>
      <c r="O25" s="13" t="n"/>
      <c r="P25" s="10">
        <f>IF(OR(E25="",F25=""),"",IFERROR(F25/E25,""))</f>
        <v/>
      </c>
      <c r="Q25" s="10">
        <f>IF(OR(G25="",H25=""),"",IFERROR(H25/G25,""))</f>
        <v/>
      </c>
      <c r="R25" s="10">
        <f>IF(OR(I25="",J25=""),"",IFERROR(J25/I25,""))</f>
        <v/>
      </c>
      <c r="S25" s="12" t="n"/>
      <c r="T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3" t="n"/>
      <c r="L26" s="13" t="n"/>
      <c r="M26" s="13" t="n"/>
      <c r="N26" s="13" t="n"/>
      <c r="O26" s="13" t="n"/>
      <c r="P26" s="10">
        <f>IF(OR(E26="",F26=""),"",IFERROR(F26/E26,""))</f>
        <v/>
      </c>
      <c r="Q26" s="10">
        <f>IF(OR(G26="",H26=""),"",IFERROR(H26/G26,""))</f>
        <v/>
      </c>
      <c r="R26" s="10">
        <f>IF(OR(I26="",J26=""),"",IFERROR(J26/I26,""))</f>
        <v/>
      </c>
      <c r="S26" s="12" t="n"/>
      <c r="T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3" t="n"/>
      <c r="M27" s="13" t="n"/>
      <c r="N27" s="13" t="n"/>
      <c r="O27" s="13" t="n"/>
      <c r="P27" s="10">
        <f>IF(OR(E27="",F27=""),"",IFERROR(F27/E27,""))</f>
        <v/>
      </c>
      <c r="Q27" s="10">
        <f>IF(OR(G27="",H27=""),"",IFERROR(H27/G27,""))</f>
        <v/>
      </c>
      <c r="R27" s="10">
        <f>IF(OR(I27="",J27=""),"",IFERROR(J27/I27,""))</f>
        <v/>
      </c>
      <c r="S27" s="12" t="n"/>
      <c r="T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3" t="n"/>
      <c r="L28" s="13" t="n"/>
      <c r="M28" s="13" t="n"/>
      <c r="N28" s="13" t="n"/>
      <c r="O28" s="13" t="n"/>
      <c r="P28" s="10">
        <f>IF(OR(E28="",F28=""),"",IFERROR(F28/E28,""))</f>
        <v/>
      </c>
      <c r="Q28" s="10">
        <f>IF(OR(G28="",H28=""),"",IFERROR(H28/G28,""))</f>
        <v/>
      </c>
      <c r="R28" s="10">
        <f>IF(OR(I28="",J28=""),"",IFERROR(J28/I28,""))</f>
        <v/>
      </c>
      <c r="S28" s="12" t="n"/>
      <c r="T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3" t="n"/>
      <c r="M29" s="13" t="n"/>
      <c r="N29" s="13" t="n"/>
      <c r="O29" s="13" t="n"/>
      <c r="P29" s="10">
        <f>IF(OR(E29="",F29=""),"",IFERROR(F29/E29,""))</f>
        <v/>
      </c>
      <c r="Q29" s="10">
        <f>IF(OR(G29="",H29=""),"",IFERROR(H29/G29,""))</f>
        <v/>
      </c>
      <c r="R29" s="10">
        <f>IF(OR(I29="",J29=""),"",IFERROR(J29/I29,""))</f>
        <v/>
      </c>
      <c r="S29" s="12" t="n"/>
      <c r="T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3" t="n"/>
      <c r="L30" s="13" t="n"/>
      <c r="M30" s="13" t="n"/>
      <c r="N30" s="13" t="n"/>
      <c r="O30" s="13" t="n"/>
      <c r="P30" s="10">
        <f>IF(OR(E30="",F30=""),"",IFERROR(F30/E30,""))</f>
        <v/>
      </c>
      <c r="Q30" s="10">
        <f>IF(OR(G30="",H30=""),"",IFERROR(H30/G30,""))</f>
        <v/>
      </c>
      <c r="R30" s="10">
        <f>IF(OR(I30="",J30=""),"",IFERROR(J30/I30,""))</f>
        <v/>
      </c>
      <c r="S30" s="12" t="n"/>
      <c r="T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3" t="n"/>
      <c r="L31" s="13" t="n"/>
      <c r="M31" s="13" t="n"/>
      <c r="N31" s="13" t="n"/>
      <c r="O31" s="13" t="n"/>
      <c r="P31" s="10">
        <f>IF(OR(E31="",F31=""),"",IFERROR(F31/E31,""))</f>
        <v/>
      </c>
      <c r="Q31" s="10">
        <f>IF(OR(G31="",H31=""),"",IFERROR(H31/G31,""))</f>
        <v/>
      </c>
      <c r="R31" s="10">
        <f>IF(OR(I31="",J31=""),"",IFERROR(J31/I31,""))</f>
        <v/>
      </c>
      <c r="S31" s="12" t="n"/>
      <c r="T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3" t="n"/>
      <c r="L32" s="13" t="n"/>
      <c r="M32" s="13" t="n"/>
      <c r="N32" s="13" t="n"/>
      <c r="O32" s="13" t="n"/>
      <c r="P32" s="10">
        <f>IF(OR(E32="",F32=""),"",IFERROR(F32/E32,""))</f>
        <v/>
      </c>
      <c r="Q32" s="10">
        <f>IF(OR(G32="",H32=""),"",IFERROR(H32/G32,""))</f>
        <v/>
      </c>
      <c r="R32" s="10">
        <f>IF(OR(I32="",J32=""),"",IFERROR(J32/I32,""))</f>
        <v/>
      </c>
      <c r="S32" s="12" t="n"/>
      <c r="T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3" t="n"/>
      <c r="L33" s="13" t="n"/>
      <c r="M33" s="13" t="n"/>
      <c r="N33" s="13" t="n"/>
      <c r="O33" s="13" t="n"/>
      <c r="P33" s="10">
        <f>IF(OR(E33="",F33=""),"",IFERROR(F33/E33,""))</f>
        <v/>
      </c>
      <c r="Q33" s="10">
        <f>IF(OR(G33="",H33=""),"",IFERROR(H33/G33,""))</f>
        <v/>
      </c>
      <c r="R33" s="10">
        <f>IF(OR(I33="",J33=""),"",IFERROR(J33/I33,""))</f>
        <v/>
      </c>
      <c r="S33" s="12" t="n"/>
      <c r="T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3" t="n"/>
      <c r="L34" s="13" t="n"/>
      <c r="M34" s="13" t="n"/>
      <c r="N34" s="13" t="n"/>
      <c r="O34" s="13" t="n"/>
      <c r="P34" s="10">
        <f>IF(OR(E34="",F34=""),"",IFERROR(F34/E34,""))</f>
        <v/>
      </c>
      <c r="Q34" s="10">
        <f>IF(OR(G34="",H34=""),"",IFERROR(H34/G34,""))</f>
        <v/>
      </c>
      <c r="R34" s="10">
        <f>IF(OR(I34="",J34=""),"",IFERROR(J34/I34,""))</f>
        <v/>
      </c>
      <c r="S34" s="12" t="n"/>
      <c r="T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3" t="n"/>
      <c r="L35" s="13" t="n"/>
      <c r="M35" s="13" t="n"/>
      <c r="N35" s="13" t="n"/>
      <c r="O35" s="13" t="n"/>
      <c r="P35" s="10">
        <f>IF(OR(E35="",F35=""),"",IFERROR(F35/E35,""))</f>
        <v/>
      </c>
      <c r="Q35" s="10">
        <f>IF(OR(G35="",H35=""),"",IFERROR(H35/G35,""))</f>
        <v/>
      </c>
      <c r="R35" s="10">
        <f>IF(OR(I35="",J35=""),"",IFERROR(J35/I35,""))</f>
        <v/>
      </c>
      <c r="S35" s="12" t="n"/>
      <c r="T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/>
      <c r="L36" s="13" t="n"/>
      <c r="M36" s="13" t="n"/>
      <c r="N36" s="13" t="n"/>
      <c r="O36" s="13" t="n"/>
      <c r="P36" s="10">
        <f>IF(OR(E36="",F36=""),"",IFERROR(F36/E36,""))</f>
        <v/>
      </c>
      <c r="Q36" s="10">
        <f>IF(OR(G36="",H36=""),"",IFERROR(H36/G36,""))</f>
        <v/>
      </c>
      <c r="R36" s="10">
        <f>IF(OR(I36="",J36=""),"",IFERROR(J36/I36,""))</f>
        <v/>
      </c>
      <c r="S36" s="12" t="n"/>
      <c r="T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3" t="n"/>
      <c r="L37" s="13" t="n"/>
      <c r="M37" s="13" t="n"/>
      <c r="N37" s="13" t="n"/>
      <c r="O37" s="13" t="n"/>
      <c r="P37" s="10">
        <f>IF(OR(E37="",F37=""),"",IFERROR(F37/E37,""))</f>
        <v/>
      </c>
      <c r="Q37" s="10">
        <f>IF(OR(G37="",H37=""),"",IFERROR(H37/G37,""))</f>
        <v/>
      </c>
      <c r="R37" s="10">
        <f>IF(OR(I37="",J37=""),"",IFERROR(J37/I37,""))</f>
        <v/>
      </c>
      <c r="S37" s="12" t="n"/>
      <c r="T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3" t="n"/>
      <c r="L38" s="13" t="n"/>
      <c r="M38" s="13" t="n"/>
      <c r="N38" s="13" t="n"/>
      <c r="O38" s="13" t="n"/>
      <c r="P38" s="10">
        <f>IF(OR(E38="",F38=""),"",IFERROR(F38/E38,""))</f>
        <v/>
      </c>
      <c r="Q38" s="10">
        <f>IF(OR(G38="",H38=""),"",IFERROR(H38/G38,""))</f>
        <v/>
      </c>
      <c r="R38" s="10">
        <f>IF(OR(I38="",J38=""),"",IFERROR(J38/I38,""))</f>
        <v/>
      </c>
      <c r="S38" s="12" t="n"/>
      <c r="T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3" t="n"/>
      <c r="L39" s="13" t="n"/>
      <c r="M39" s="13" t="n"/>
      <c r="N39" s="13" t="n"/>
      <c r="O39" s="13" t="n"/>
      <c r="P39" s="10">
        <f>IF(OR(E39="",F39=""),"",IFERROR(F39/E39,""))</f>
        <v/>
      </c>
      <c r="Q39" s="10">
        <f>IF(OR(G39="",H39=""),"",IFERROR(H39/G39,""))</f>
        <v/>
      </c>
      <c r="R39" s="10">
        <f>IF(OR(I39="",J39=""),"",IFERROR(J39/I39,""))</f>
        <v/>
      </c>
      <c r="S39" s="12" t="n"/>
      <c r="T39" s="12" t="n"/>
    </row>
  </sheetData>
  <mergeCells count="2">
    <mergeCell ref="A1:T1"/>
    <mergeCell ref="A2:T2"/>
  </mergeCells>
  <dataValidations count="1">
    <dataValidation sqref="B4:B39" showDropDown="0" showInputMessage="0" showErrorMessage="0" allowBlank="1" type="list">
      <formula1>"Gold,ST LAP,MT LAP,Home Loan,Other"</formula1>
    </dataValidation>
  </dataValidation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7466B"/>
    <outlinePr summaryBelow="1" summaryRight="1"/>
    <pageSetUpPr fitToPage="1"/>
  </sheetPr>
  <dimension ref="A1:K2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7" customWidth="1" min="3" max="3"/>
    <col width="15" customWidth="1" min="4" max="4"/>
    <col width="16" customWidth="1" min="5" max="5"/>
    <col width="19" customWidth="1" min="6" max="6"/>
    <col width="15" customWidth="1" min="7" max="7"/>
    <col width="20" customWidth="1" min="8" max="8"/>
    <col width="38" customWidth="1" min="9" max="9"/>
    <col width="15" customWidth="1" min="10" max="10"/>
    <col width="34" customWidth="1" min="11" max="11"/>
  </cols>
  <sheetData>
    <row r="1" ht="27" customHeight="1">
      <c r="A1" s="5" t="inlineStr">
        <is>
          <t>Policy Trigger vs Actual | Internal limits intentionally blank</t>
        </is>
      </c>
    </row>
    <row r="2" ht="32" customHeight="1">
      <c r="A2" s="6" t="inlineStr">
        <is>
          <t>Use current approved policy values and direction. MAX: breach if actual exceeds limit. MIN: breach if actual falls below limit. Preserve every breach and closure event.</t>
        </is>
      </c>
    </row>
    <row r="3" ht="34" customHeight="1">
      <c r="A3" s="7" t="inlineStr">
        <is>
          <t>Metric / policy clause</t>
        </is>
      </c>
      <c r="B3" s="7" t="inlineStr">
        <is>
          <t>Direction (MAX/MIN)</t>
        </is>
      </c>
      <c r="C3" s="7" t="inlineStr">
        <is>
          <t>Approved limit</t>
        </is>
      </c>
      <c r="D3" s="7" t="inlineStr">
        <is>
          <t>Actual</t>
        </is>
      </c>
      <c r="E3" s="7" t="inlineStr">
        <is>
          <t>As of date</t>
        </is>
      </c>
      <c r="F3" s="7" t="inlineStr">
        <is>
          <t>Status</t>
        </is>
      </c>
      <c r="G3" s="7" t="inlineStr">
        <is>
          <t>Headroom</t>
        </is>
      </c>
      <c r="H3" s="7" t="inlineStr">
        <is>
          <t>Owner</t>
        </is>
      </c>
      <c r="I3" s="7" t="inlineStr">
        <is>
          <t>Root cause / action</t>
        </is>
      </c>
      <c r="J3" s="7" t="inlineStr">
        <is>
          <t>Due date</t>
        </is>
      </c>
      <c r="K3" s="7" t="inlineStr">
        <is>
          <t>Closure evidence</t>
        </is>
      </c>
    </row>
    <row r="4">
      <c r="A4" s="12" t="n"/>
      <c r="B4" s="12" t="n"/>
      <c r="C4" s="12" t="n"/>
      <c r="D4" s="12" t="n"/>
      <c r="E4" s="12" t="n"/>
      <c r="F4" s="8">
        <f>IF(OR(A4="",B4="",C4="",D4=""),"DATA NEEDED",IF(B4="MAX",IF(D4&gt;C4,"BREACH","WITHIN"),IF(B4="MIN",IF(D4&lt;C4,"BREACH","WITHIN"),"CHECK DIRECTION")))</f>
        <v/>
      </c>
      <c r="G4" s="8">
        <f>IF(OR(C4="",D4=""),"",IF(B4="MAX",C4-D4,D4-C4))</f>
        <v/>
      </c>
      <c r="H4" s="12" t="n"/>
      <c r="I4" s="12" t="n"/>
      <c r="J4" s="12" t="n"/>
      <c r="K4" s="12" t="n"/>
    </row>
    <row r="5">
      <c r="A5" s="12" t="n"/>
      <c r="B5" s="12" t="n"/>
      <c r="C5" s="12" t="n"/>
      <c r="D5" s="12" t="n"/>
      <c r="E5" s="12" t="n"/>
      <c r="F5" s="8">
        <f>IF(OR(A5="",B5="",C5="",D5=""),"DATA NEEDED",IF(B5="MAX",IF(D5&gt;C5,"BREACH","WITHIN"),IF(B5="MIN",IF(D5&lt;C5,"BREACH","WITHIN"),"CHECK DIRECTION")))</f>
        <v/>
      </c>
      <c r="G5" s="8">
        <f>IF(OR(C5="",D5=""),"",IF(B5="MAX",C5-D5,D5-C5))</f>
        <v/>
      </c>
      <c r="H5" s="12" t="n"/>
      <c r="I5" s="12" t="n"/>
      <c r="J5" s="12" t="n"/>
      <c r="K5" s="12" t="n"/>
    </row>
    <row r="6">
      <c r="A6" s="12" t="n"/>
      <c r="B6" s="12" t="n"/>
      <c r="C6" s="12" t="n"/>
      <c r="D6" s="12" t="n"/>
      <c r="E6" s="12" t="n"/>
      <c r="F6" s="8">
        <f>IF(OR(A6="",B6="",C6="",D6=""),"DATA NEEDED",IF(B6="MAX",IF(D6&gt;C6,"BREACH","WITHIN"),IF(B6="MIN",IF(D6&lt;C6,"BREACH","WITHIN"),"CHECK DIRECTION")))</f>
        <v/>
      </c>
      <c r="G6" s="8">
        <f>IF(OR(C6="",D6=""),"",IF(B6="MAX",C6-D6,D6-C6))</f>
        <v/>
      </c>
      <c r="H6" s="12" t="n"/>
      <c r="I6" s="12" t="n"/>
      <c r="J6" s="12" t="n"/>
      <c r="K6" s="12" t="n"/>
    </row>
    <row r="7">
      <c r="A7" s="12" t="n"/>
      <c r="B7" s="12" t="n"/>
      <c r="C7" s="12" t="n"/>
      <c r="D7" s="12" t="n"/>
      <c r="E7" s="12" t="n"/>
      <c r="F7" s="8">
        <f>IF(OR(A7="",B7="",C7="",D7=""),"DATA NEEDED",IF(B7="MAX",IF(D7&gt;C7,"BREACH","WITHIN"),IF(B7="MIN",IF(D7&lt;C7,"BREACH","WITHIN"),"CHECK DIRECTION")))</f>
        <v/>
      </c>
      <c r="G7" s="8">
        <f>IF(OR(C7="",D7=""),"",IF(B7="MAX",C7-D7,D7-C7))</f>
        <v/>
      </c>
      <c r="H7" s="12" t="n"/>
      <c r="I7" s="12" t="n"/>
      <c r="J7" s="12" t="n"/>
      <c r="K7" s="12" t="n"/>
    </row>
    <row r="8">
      <c r="A8" s="12" t="n"/>
      <c r="B8" s="12" t="n"/>
      <c r="C8" s="12" t="n"/>
      <c r="D8" s="12" t="n"/>
      <c r="E8" s="12" t="n"/>
      <c r="F8" s="8">
        <f>IF(OR(A8="",B8="",C8="",D8=""),"DATA NEEDED",IF(B8="MAX",IF(D8&gt;C8,"BREACH","WITHIN"),IF(B8="MIN",IF(D8&lt;C8,"BREACH","WITHIN"),"CHECK DIRECTION")))</f>
        <v/>
      </c>
      <c r="G8" s="8">
        <f>IF(OR(C8="",D8=""),"",IF(B8="MAX",C8-D8,D8-C8))</f>
        <v/>
      </c>
      <c r="H8" s="12" t="n"/>
      <c r="I8" s="12" t="n"/>
      <c r="J8" s="12" t="n"/>
      <c r="K8" s="12" t="n"/>
    </row>
    <row r="9">
      <c r="A9" s="12" t="n"/>
      <c r="B9" s="12" t="n"/>
      <c r="C9" s="12" t="n"/>
      <c r="D9" s="12" t="n"/>
      <c r="E9" s="12" t="n"/>
      <c r="F9" s="8">
        <f>IF(OR(A9="",B9="",C9="",D9=""),"DATA NEEDED",IF(B9="MAX",IF(D9&gt;C9,"BREACH","WITHIN"),IF(B9="MIN",IF(D9&lt;C9,"BREACH","WITHIN"),"CHECK DIRECTION")))</f>
        <v/>
      </c>
      <c r="G9" s="8">
        <f>IF(OR(C9="",D9=""),"",IF(B9="MAX",C9-D9,D9-C9))</f>
        <v/>
      </c>
      <c r="H9" s="12" t="n"/>
      <c r="I9" s="12" t="n"/>
      <c r="J9" s="12" t="n"/>
      <c r="K9" s="12" t="n"/>
    </row>
    <row r="10">
      <c r="A10" s="12" t="n"/>
      <c r="B10" s="12" t="n"/>
      <c r="C10" s="12" t="n"/>
      <c r="D10" s="12" t="n"/>
      <c r="E10" s="12" t="n"/>
      <c r="F10" s="8">
        <f>IF(OR(A10="",B10="",C10="",D10=""),"DATA NEEDED",IF(B10="MAX",IF(D10&gt;C10,"BREACH","WITHIN"),IF(B10="MIN",IF(D10&lt;C10,"BREACH","WITHIN"),"CHECK DIRECTION")))</f>
        <v/>
      </c>
      <c r="G10" s="8">
        <f>IF(OR(C10="",D10=""),"",IF(B10="MAX",C10-D10,D10-C10))</f>
        <v/>
      </c>
      <c r="H10" s="12" t="n"/>
      <c r="I10" s="12" t="n"/>
      <c r="J10" s="12" t="n"/>
      <c r="K10" s="12" t="n"/>
    </row>
    <row r="11">
      <c r="A11" s="12" t="n"/>
      <c r="B11" s="12" t="n"/>
      <c r="C11" s="12" t="n"/>
      <c r="D11" s="12" t="n"/>
      <c r="E11" s="12" t="n"/>
      <c r="F11" s="8">
        <f>IF(OR(A11="",B11="",C11="",D11=""),"DATA NEEDED",IF(B11="MAX",IF(D11&gt;C11,"BREACH","WITHIN"),IF(B11="MIN",IF(D11&lt;C11,"BREACH","WITHIN"),"CHECK DIRECTION")))</f>
        <v/>
      </c>
      <c r="G11" s="8">
        <f>IF(OR(C11="",D11=""),"",IF(B11="MAX",C11-D11,D11-C11))</f>
        <v/>
      </c>
      <c r="H11" s="12" t="n"/>
      <c r="I11" s="12" t="n"/>
      <c r="J11" s="12" t="n"/>
      <c r="K11" s="12" t="n"/>
    </row>
    <row r="12">
      <c r="A12" s="12" t="n"/>
      <c r="B12" s="12" t="n"/>
      <c r="C12" s="12" t="n"/>
      <c r="D12" s="12" t="n"/>
      <c r="E12" s="12" t="n"/>
      <c r="F12" s="8">
        <f>IF(OR(A12="",B12="",C12="",D12=""),"DATA NEEDED",IF(B12="MAX",IF(D12&gt;C12,"BREACH","WITHIN"),IF(B12="MIN",IF(D12&lt;C12,"BREACH","WITHIN"),"CHECK DIRECTION")))</f>
        <v/>
      </c>
      <c r="G12" s="8">
        <f>IF(OR(C12="",D12=""),"",IF(B12="MAX",C12-D12,D12-C12))</f>
        <v/>
      </c>
      <c r="H12" s="12" t="n"/>
      <c r="I12" s="12" t="n"/>
      <c r="J12" s="12" t="n"/>
      <c r="K12" s="12" t="n"/>
    </row>
    <row r="13">
      <c r="A13" s="12" t="n"/>
      <c r="B13" s="12" t="n"/>
      <c r="C13" s="12" t="n"/>
      <c r="D13" s="12" t="n"/>
      <c r="E13" s="12" t="n"/>
      <c r="F13" s="8">
        <f>IF(OR(A13="",B13="",C13="",D13=""),"DATA NEEDED",IF(B13="MAX",IF(D13&gt;C13,"BREACH","WITHIN"),IF(B13="MIN",IF(D13&lt;C13,"BREACH","WITHIN"),"CHECK DIRECTION")))</f>
        <v/>
      </c>
      <c r="G13" s="8">
        <f>IF(OR(C13="",D13=""),"",IF(B13="MAX",C13-D13,D13-C13))</f>
        <v/>
      </c>
      <c r="H13" s="12" t="n"/>
      <c r="I13" s="12" t="n"/>
      <c r="J13" s="12" t="n"/>
      <c r="K13" s="12" t="n"/>
    </row>
    <row r="14">
      <c r="A14" s="12" t="n"/>
      <c r="B14" s="12" t="n"/>
      <c r="C14" s="12" t="n"/>
      <c r="D14" s="12" t="n"/>
      <c r="E14" s="12" t="n"/>
      <c r="F14" s="8">
        <f>IF(OR(A14="",B14="",C14="",D14=""),"DATA NEEDED",IF(B14="MAX",IF(D14&gt;C14,"BREACH","WITHIN"),IF(B14="MIN",IF(D14&lt;C14,"BREACH","WITHIN"),"CHECK DIRECTION")))</f>
        <v/>
      </c>
      <c r="G14" s="8">
        <f>IF(OR(C14="",D14=""),"",IF(B14="MAX",C14-D14,D14-C14))</f>
        <v/>
      </c>
      <c r="H14" s="12" t="n"/>
      <c r="I14" s="12" t="n"/>
      <c r="J14" s="12" t="n"/>
      <c r="K14" s="12" t="n"/>
    </row>
    <row r="15">
      <c r="A15" s="12" t="n"/>
      <c r="B15" s="12" t="n"/>
      <c r="C15" s="12" t="n"/>
      <c r="D15" s="12" t="n"/>
      <c r="E15" s="12" t="n"/>
      <c r="F15" s="8">
        <f>IF(OR(A15="",B15="",C15="",D15=""),"DATA NEEDED",IF(B15="MAX",IF(D15&gt;C15,"BREACH","WITHIN"),IF(B15="MIN",IF(D15&lt;C15,"BREACH","WITHIN"),"CHECK DIRECTION")))</f>
        <v/>
      </c>
      <c r="G15" s="8">
        <f>IF(OR(C15="",D15=""),"",IF(B15="MAX",C15-D15,D15-C15))</f>
        <v/>
      </c>
      <c r="H15" s="12" t="n"/>
      <c r="I15" s="12" t="n"/>
      <c r="J15" s="12" t="n"/>
      <c r="K15" s="12" t="n"/>
    </row>
    <row r="16">
      <c r="A16" s="12" t="n"/>
      <c r="B16" s="12" t="n"/>
      <c r="C16" s="12" t="n"/>
      <c r="D16" s="12" t="n"/>
      <c r="E16" s="12" t="n"/>
      <c r="F16" s="8">
        <f>IF(OR(A16="",B16="",C16="",D16=""),"DATA NEEDED",IF(B16="MAX",IF(D16&gt;C16,"BREACH","WITHIN"),IF(B16="MIN",IF(D16&lt;C16,"BREACH","WITHIN"),"CHECK DIRECTION")))</f>
        <v/>
      </c>
      <c r="G16" s="8">
        <f>IF(OR(C16="",D16=""),"",IF(B16="MAX",C16-D16,D16-C16))</f>
        <v/>
      </c>
      <c r="H16" s="12" t="n"/>
      <c r="I16" s="12" t="n"/>
      <c r="J16" s="12" t="n"/>
      <c r="K16" s="12" t="n"/>
    </row>
    <row r="17">
      <c r="A17" s="12" t="n"/>
      <c r="B17" s="12" t="n"/>
      <c r="C17" s="12" t="n"/>
      <c r="D17" s="12" t="n"/>
      <c r="E17" s="12" t="n"/>
      <c r="F17" s="8">
        <f>IF(OR(A17="",B17="",C17="",D17=""),"DATA NEEDED",IF(B17="MAX",IF(D17&gt;C17,"BREACH","WITHIN"),IF(B17="MIN",IF(D17&lt;C17,"BREACH","WITHIN"),"CHECK DIRECTION")))</f>
        <v/>
      </c>
      <c r="G17" s="8">
        <f>IF(OR(C17="",D17=""),"",IF(B17="MAX",C17-D17,D17-C17))</f>
        <v/>
      </c>
      <c r="H17" s="12" t="n"/>
      <c r="I17" s="12" t="n"/>
      <c r="J17" s="12" t="n"/>
      <c r="K17" s="12" t="n"/>
    </row>
    <row r="18">
      <c r="A18" s="12" t="n"/>
      <c r="B18" s="12" t="n"/>
      <c r="C18" s="12" t="n"/>
      <c r="D18" s="12" t="n"/>
      <c r="E18" s="12" t="n"/>
      <c r="F18" s="8">
        <f>IF(OR(A18="",B18="",C18="",D18=""),"DATA NEEDED",IF(B18="MAX",IF(D18&gt;C18,"BREACH","WITHIN"),IF(B18="MIN",IF(D18&lt;C18,"BREACH","WITHIN"),"CHECK DIRECTION")))</f>
        <v/>
      </c>
      <c r="G18" s="8">
        <f>IF(OR(C18="",D18=""),"",IF(B18="MAX",C18-D18,D18-C18))</f>
        <v/>
      </c>
      <c r="H18" s="12" t="n"/>
      <c r="I18" s="12" t="n"/>
      <c r="J18" s="12" t="n"/>
      <c r="K18" s="12" t="n"/>
    </row>
    <row r="19">
      <c r="A19" s="12" t="n"/>
      <c r="B19" s="12" t="n"/>
      <c r="C19" s="12" t="n"/>
      <c r="D19" s="12" t="n"/>
      <c r="E19" s="12" t="n"/>
      <c r="F19" s="8">
        <f>IF(OR(A19="",B19="",C19="",D19=""),"DATA NEEDED",IF(B19="MAX",IF(D19&gt;C19,"BREACH","WITHIN"),IF(B19="MIN",IF(D19&lt;C19,"BREACH","WITHIN"),"CHECK DIRECTION")))</f>
        <v/>
      </c>
      <c r="G19" s="8">
        <f>IF(OR(C19="",D19=""),"",IF(B19="MAX",C19-D19,D19-C19))</f>
        <v/>
      </c>
      <c r="H19" s="12" t="n"/>
      <c r="I19" s="12" t="n"/>
      <c r="J19" s="12" t="n"/>
      <c r="K19" s="12" t="n"/>
    </row>
    <row r="20">
      <c r="A20" s="12" t="n"/>
      <c r="B20" s="12" t="n"/>
      <c r="C20" s="12" t="n"/>
      <c r="D20" s="12" t="n"/>
      <c r="E20" s="12" t="n"/>
      <c r="F20" s="8">
        <f>IF(OR(A20="",B20="",C20="",D20=""),"DATA NEEDED",IF(B20="MAX",IF(D20&gt;C20,"BREACH","WITHIN"),IF(B20="MIN",IF(D20&lt;C20,"BREACH","WITHIN"),"CHECK DIRECTION")))</f>
        <v/>
      </c>
      <c r="G20" s="8">
        <f>IF(OR(C20="",D20=""),"",IF(B20="MAX",C20-D20,D20-C20))</f>
        <v/>
      </c>
      <c r="H20" s="12" t="n"/>
      <c r="I20" s="12" t="n"/>
      <c r="J20" s="12" t="n"/>
      <c r="K20" s="12" t="n"/>
    </row>
    <row r="21">
      <c r="A21" s="12" t="n"/>
      <c r="B21" s="12" t="n"/>
      <c r="C21" s="12" t="n"/>
      <c r="D21" s="12" t="n"/>
      <c r="E21" s="12" t="n"/>
      <c r="F21" s="8">
        <f>IF(OR(A21="",B21="",C21="",D21=""),"DATA NEEDED",IF(B21="MAX",IF(D21&gt;C21,"BREACH","WITHIN"),IF(B21="MIN",IF(D21&lt;C21,"BREACH","WITHIN"),"CHECK DIRECTION")))</f>
        <v/>
      </c>
      <c r="G21" s="8">
        <f>IF(OR(C21="",D21=""),"",IF(B21="MAX",C21-D21,D21-C21))</f>
        <v/>
      </c>
      <c r="H21" s="12" t="n"/>
      <c r="I21" s="12" t="n"/>
      <c r="J21" s="12" t="n"/>
      <c r="K21" s="12" t="n"/>
    </row>
    <row r="22">
      <c r="A22" s="12" t="n"/>
      <c r="B22" s="12" t="n"/>
      <c r="C22" s="12" t="n"/>
      <c r="D22" s="12" t="n"/>
      <c r="E22" s="12" t="n"/>
      <c r="F22" s="8">
        <f>IF(OR(A22="",B22="",C22="",D22=""),"DATA NEEDED",IF(B22="MAX",IF(D22&gt;C22,"BREACH","WITHIN"),IF(B22="MIN",IF(D22&lt;C22,"BREACH","WITHIN"),"CHECK DIRECTION")))</f>
        <v/>
      </c>
      <c r="G22" s="8">
        <f>IF(OR(C22="",D22=""),"",IF(B22="MAX",C22-D22,D22-C22))</f>
        <v/>
      </c>
      <c r="H22" s="12" t="n"/>
      <c r="I22" s="12" t="n"/>
      <c r="J22" s="12" t="n"/>
      <c r="K22" s="12" t="n"/>
    </row>
    <row r="23">
      <c r="A23" s="12" t="n"/>
      <c r="B23" s="12" t="n"/>
      <c r="C23" s="12" t="n"/>
      <c r="D23" s="12" t="n"/>
      <c r="E23" s="12" t="n"/>
      <c r="F23" s="8">
        <f>IF(OR(A23="",B23="",C23="",D23=""),"DATA NEEDED",IF(B23="MAX",IF(D23&gt;C23,"BREACH","WITHIN"),IF(B23="MIN",IF(D23&lt;C23,"BREACH","WITHIN"),"CHECK DIRECTION")))</f>
        <v/>
      </c>
      <c r="G23" s="8">
        <f>IF(OR(C23="",D23=""),"",IF(B23="MAX",C23-D23,D23-C23))</f>
        <v/>
      </c>
      <c r="H23" s="12" t="n"/>
      <c r="I23" s="12" t="n"/>
      <c r="J23" s="12" t="n"/>
      <c r="K23" s="12" t="n"/>
    </row>
  </sheetData>
  <mergeCells count="2">
    <mergeCell ref="A2:K2"/>
    <mergeCell ref="A1:K1"/>
  </mergeCells>
  <conditionalFormatting sqref="F4:F23">
    <cfRule type="expression" priority="1" dxfId="0">
      <formula>F4="BREACH"</formula>
    </cfRule>
    <cfRule type="expression" priority="2" dxfId="1">
      <formula>F4="WITHIN"</formula>
    </cfRule>
  </conditionalFormatting>
  <dataValidations count="1">
    <dataValidation sqref="B4:B23" showDropDown="0" showInputMessage="0" showErrorMessage="0" allowBlank="1" type="list">
      <formula1>"MAX,MIN"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17466B"/>
    <outlinePr summaryBelow="1" summaryRight="1"/>
    <pageSetUpPr fitToPage="1"/>
  </sheetPr>
  <dimension ref="A1:O3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8" customWidth="1" min="3" max="3"/>
    <col width="16" customWidth="1" min="4" max="4"/>
    <col width="20" customWidth="1" min="5" max="5"/>
    <col width="20" customWidth="1" min="6" max="6"/>
    <col width="20" customWidth="1" min="7" max="7"/>
    <col width="21" customWidth="1" min="8" max="8"/>
    <col width="23" customWidth="1" min="9" max="9"/>
    <col width="15" customWidth="1" min="10" max="10"/>
    <col width="24" customWidth="1" min="11" max="11"/>
    <col width="17" customWidth="1" min="12" max="12"/>
    <col width="30" customWidth="1" min="13" max="13"/>
    <col width="21" customWidth="1" min="14" max="14"/>
    <col width="35" customWidth="1" min="15" max="15"/>
  </cols>
  <sheetData>
    <row r="1" ht="27" customHeight="1">
      <c r="A1" s="5" t="inlineStr">
        <is>
          <t>Bounce Analysis | Blank template — not company results</t>
        </is>
      </c>
    </row>
    <row r="2" ht="31" customHeight="1">
      <c r="A2" s="6" t="inlineStr">
        <is>
          <t>Define valid presentments, retry treatment, return-code taxonomy and cure window before calculating any rate.</t>
        </is>
      </c>
    </row>
    <row r="3" ht="34" customHeight="1">
      <c r="A3" s="7" t="inlineStr">
        <is>
          <t>Month</t>
        </is>
      </c>
      <c r="B3" s="7" t="inlineStr">
        <is>
          <t>Product / segment</t>
        </is>
      </c>
      <c r="C3" s="7" t="inlineStr">
        <is>
          <t>Presentments (#)</t>
        </is>
      </c>
      <c r="D3" s="7" t="inlineStr">
        <is>
          <t>Bounced (#)</t>
        </is>
      </c>
      <c r="E3" s="7" t="inlineStr">
        <is>
          <t>Amount presented (₹)</t>
        </is>
      </c>
      <c r="F3" s="7" t="inlineStr">
        <is>
          <t>Amount returned (₹)</t>
        </is>
      </c>
      <c r="G3" s="7" t="inlineStr">
        <is>
          <t>Count bounce rate</t>
        </is>
      </c>
      <c r="H3" s="7" t="inlineStr">
        <is>
          <t>Amount bounce rate</t>
        </is>
      </c>
      <c r="I3" s="7" t="inlineStr">
        <is>
          <t>Cured within window (#)</t>
        </is>
      </c>
      <c r="J3" s="7" t="inlineStr">
        <is>
          <t>Cure rate</t>
        </is>
      </c>
      <c r="K3" s="7" t="inlineStr">
        <is>
          <t>Repeat-bounce accounts (#)</t>
        </is>
      </c>
      <c r="L3" s="7" t="inlineStr">
        <is>
          <t>Repeat rate</t>
        </is>
      </c>
      <c r="M3" s="7" t="inlineStr">
        <is>
          <t>Primary return reason</t>
        </is>
      </c>
      <c r="N3" s="7" t="inlineStr">
        <is>
          <t>Source / owner</t>
        </is>
      </c>
      <c r="O3" s="7" t="inlineStr">
        <is>
          <t>Notes</t>
        </is>
      </c>
    </row>
    <row r="4">
      <c r="A4" s="12" t="n"/>
      <c r="B4" s="12" t="n"/>
      <c r="C4" s="12" t="n"/>
      <c r="D4" s="12" t="n"/>
      <c r="E4" s="12" t="n"/>
      <c r="F4" s="12" t="n"/>
      <c r="G4" s="10">
        <f>IF(OR(C4="",D4=""),"",IFERROR(D4/C4,""))</f>
        <v/>
      </c>
      <c r="H4" s="10">
        <f>IF(OR(E4="",F4=""),"",IFERROR(F4/E4,""))</f>
        <v/>
      </c>
      <c r="I4" s="12" t="n"/>
      <c r="J4" s="10">
        <f>IF(OR(D4="",I4=""),"",IFERROR(I4/D4,""))</f>
        <v/>
      </c>
      <c r="K4" s="12" t="n"/>
      <c r="L4" s="10">
        <f>IF(OR(C4="",K4=""),"",IFERROR(K4/C4,""))</f>
        <v/>
      </c>
      <c r="M4" s="12" t="n"/>
      <c r="N4" s="12" t="n"/>
      <c r="O4" s="12" t="n"/>
    </row>
    <row r="5">
      <c r="A5" s="12" t="n"/>
      <c r="B5" s="12" t="n"/>
      <c r="C5" s="12" t="n"/>
      <c r="D5" s="12" t="n"/>
      <c r="E5" s="12" t="n"/>
      <c r="F5" s="12" t="n"/>
      <c r="G5" s="10">
        <f>IF(OR(C5="",D5=""),"",IFERROR(D5/C5,""))</f>
        <v/>
      </c>
      <c r="H5" s="10">
        <f>IF(OR(E5="",F5=""),"",IFERROR(F5/E5,""))</f>
        <v/>
      </c>
      <c r="I5" s="12" t="n"/>
      <c r="J5" s="10">
        <f>IF(OR(D5="",I5=""),"",IFERROR(I5/D5,""))</f>
        <v/>
      </c>
      <c r="K5" s="12" t="n"/>
      <c r="L5" s="10">
        <f>IF(OR(C5="",K5=""),"",IFERROR(K5/C5,""))</f>
        <v/>
      </c>
      <c r="M5" s="12" t="n"/>
      <c r="N5" s="12" t="n"/>
      <c r="O5" s="12" t="n"/>
    </row>
    <row r="6">
      <c r="A6" s="12" t="n"/>
      <c r="B6" s="12" t="n"/>
      <c r="C6" s="12" t="n"/>
      <c r="D6" s="12" t="n"/>
      <c r="E6" s="12" t="n"/>
      <c r="F6" s="12" t="n"/>
      <c r="G6" s="10">
        <f>IF(OR(C6="",D6=""),"",IFERROR(D6/C6,""))</f>
        <v/>
      </c>
      <c r="H6" s="10">
        <f>IF(OR(E6="",F6=""),"",IFERROR(F6/E6,""))</f>
        <v/>
      </c>
      <c r="I6" s="12" t="n"/>
      <c r="J6" s="10">
        <f>IF(OR(D6="",I6=""),"",IFERROR(I6/D6,""))</f>
        <v/>
      </c>
      <c r="K6" s="12" t="n"/>
      <c r="L6" s="10">
        <f>IF(OR(C6="",K6=""),"",IFERROR(K6/C6,""))</f>
        <v/>
      </c>
      <c r="M6" s="12" t="n"/>
      <c r="N6" s="12" t="n"/>
      <c r="O6" s="12" t="n"/>
    </row>
    <row r="7">
      <c r="A7" s="12" t="n"/>
      <c r="B7" s="12" t="n"/>
      <c r="C7" s="12" t="n"/>
      <c r="D7" s="12" t="n"/>
      <c r="E7" s="12" t="n"/>
      <c r="F7" s="12" t="n"/>
      <c r="G7" s="10">
        <f>IF(OR(C7="",D7=""),"",IFERROR(D7/C7,""))</f>
        <v/>
      </c>
      <c r="H7" s="10">
        <f>IF(OR(E7="",F7=""),"",IFERROR(F7/E7,""))</f>
        <v/>
      </c>
      <c r="I7" s="12" t="n"/>
      <c r="J7" s="10">
        <f>IF(OR(D7="",I7=""),"",IFERROR(I7/D7,""))</f>
        <v/>
      </c>
      <c r="K7" s="12" t="n"/>
      <c r="L7" s="10">
        <f>IF(OR(C7="",K7=""),"",IFERROR(K7/C7,""))</f>
        <v/>
      </c>
      <c r="M7" s="12" t="n"/>
      <c r="N7" s="12" t="n"/>
      <c r="O7" s="12" t="n"/>
    </row>
    <row r="8">
      <c r="A8" s="12" t="n"/>
      <c r="B8" s="12" t="n"/>
      <c r="C8" s="12" t="n"/>
      <c r="D8" s="12" t="n"/>
      <c r="E8" s="12" t="n"/>
      <c r="F8" s="12" t="n"/>
      <c r="G8" s="10">
        <f>IF(OR(C8="",D8=""),"",IFERROR(D8/C8,""))</f>
        <v/>
      </c>
      <c r="H8" s="10">
        <f>IF(OR(E8="",F8=""),"",IFERROR(F8/E8,""))</f>
        <v/>
      </c>
      <c r="I8" s="12" t="n"/>
      <c r="J8" s="10">
        <f>IF(OR(D8="",I8=""),"",IFERROR(I8/D8,""))</f>
        <v/>
      </c>
      <c r="K8" s="12" t="n"/>
      <c r="L8" s="10">
        <f>IF(OR(C8="",K8=""),"",IFERROR(K8/C8,""))</f>
        <v/>
      </c>
      <c r="M8" s="12" t="n"/>
      <c r="N8" s="12" t="n"/>
      <c r="O8" s="12" t="n"/>
    </row>
    <row r="9">
      <c r="A9" s="12" t="n"/>
      <c r="B9" s="12" t="n"/>
      <c r="C9" s="12" t="n"/>
      <c r="D9" s="12" t="n"/>
      <c r="E9" s="12" t="n"/>
      <c r="F9" s="12" t="n"/>
      <c r="G9" s="10">
        <f>IF(OR(C9="",D9=""),"",IFERROR(D9/C9,""))</f>
        <v/>
      </c>
      <c r="H9" s="10">
        <f>IF(OR(E9="",F9=""),"",IFERROR(F9/E9,""))</f>
        <v/>
      </c>
      <c r="I9" s="12" t="n"/>
      <c r="J9" s="10">
        <f>IF(OR(D9="",I9=""),"",IFERROR(I9/D9,""))</f>
        <v/>
      </c>
      <c r="K9" s="12" t="n"/>
      <c r="L9" s="10">
        <f>IF(OR(C9="",K9=""),"",IFERROR(K9/C9,""))</f>
        <v/>
      </c>
      <c r="M9" s="12" t="n"/>
      <c r="N9" s="12" t="n"/>
      <c r="O9" s="12" t="n"/>
    </row>
    <row r="10">
      <c r="A10" s="12" t="n"/>
      <c r="B10" s="12" t="n"/>
      <c r="C10" s="12" t="n"/>
      <c r="D10" s="12" t="n"/>
      <c r="E10" s="12" t="n"/>
      <c r="F10" s="12" t="n"/>
      <c r="G10" s="10">
        <f>IF(OR(C10="",D10=""),"",IFERROR(D10/C10,""))</f>
        <v/>
      </c>
      <c r="H10" s="10">
        <f>IF(OR(E10="",F10=""),"",IFERROR(F10/E10,""))</f>
        <v/>
      </c>
      <c r="I10" s="12" t="n"/>
      <c r="J10" s="10">
        <f>IF(OR(D10="",I10=""),"",IFERROR(I10/D10,""))</f>
        <v/>
      </c>
      <c r="K10" s="12" t="n"/>
      <c r="L10" s="10">
        <f>IF(OR(C10="",K10=""),"",IFERROR(K10/C10,""))</f>
        <v/>
      </c>
      <c r="M10" s="12" t="n"/>
      <c r="N10" s="12" t="n"/>
      <c r="O10" s="12" t="n"/>
    </row>
    <row r="11">
      <c r="A11" s="12" t="n"/>
      <c r="B11" s="12" t="n"/>
      <c r="C11" s="12" t="n"/>
      <c r="D11" s="12" t="n"/>
      <c r="E11" s="12" t="n"/>
      <c r="F11" s="12" t="n"/>
      <c r="G11" s="10">
        <f>IF(OR(C11="",D11=""),"",IFERROR(D11/C11,""))</f>
        <v/>
      </c>
      <c r="H11" s="10">
        <f>IF(OR(E11="",F11=""),"",IFERROR(F11/E11,""))</f>
        <v/>
      </c>
      <c r="I11" s="12" t="n"/>
      <c r="J11" s="10">
        <f>IF(OR(D11="",I11=""),"",IFERROR(I11/D11,""))</f>
        <v/>
      </c>
      <c r="K11" s="12" t="n"/>
      <c r="L11" s="10">
        <f>IF(OR(C11="",K11=""),"",IFERROR(K11/C11,""))</f>
        <v/>
      </c>
      <c r="M11" s="12" t="n"/>
      <c r="N11" s="12" t="n"/>
      <c r="O11" s="12" t="n"/>
    </row>
    <row r="12">
      <c r="A12" s="12" t="n"/>
      <c r="B12" s="12" t="n"/>
      <c r="C12" s="12" t="n"/>
      <c r="D12" s="12" t="n"/>
      <c r="E12" s="12" t="n"/>
      <c r="F12" s="12" t="n"/>
      <c r="G12" s="10">
        <f>IF(OR(C12="",D12=""),"",IFERROR(D12/C12,""))</f>
        <v/>
      </c>
      <c r="H12" s="10">
        <f>IF(OR(E12="",F12=""),"",IFERROR(F12/E12,""))</f>
        <v/>
      </c>
      <c r="I12" s="12" t="n"/>
      <c r="J12" s="10">
        <f>IF(OR(D12="",I12=""),"",IFERROR(I12/D12,""))</f>
        <v/>
      </c>
      <c r="K12" s="12" t="n"/>
      <c r="L12" s="10">
        <f>IF(OR(C12="",K12=""),"",IFERROR(K12/C12,""))</f>
        <v/>
      </c>
      <c r="M12" s="12" t="n"/>
      <c r="N12" s="12" t="n"/>
      <c r="O12" s="12" t="n"/>
    </row>
    <row r="13">
      <c r="A13" s="12" t="n"/>
      <c r="B13" s="12" t="n"/>
      <c r="C13" s="12" t="n"/>
      <c r="D13" s="12" t="n"/>
      <c r="E13" s="12" t="n"/>
      <c r="F13" s="12" t="n"/>
      <c r="G13" s="10">
        <f>IF(OR(C13="",D13=""),"",IFERROR(D13/C13,""))</f>
        <v/>
      </c>
      <c r="H13" s="10">
        <f>IF(OR(E13="",F13=""),"",IFERROR(F13/E13,""))</f>
        <v/>
      </c>
      <c r="I13" s="12" t="n"/>
      <c r="J13" s="10">
        <f>IF(OR(D13="",I13=""),"",IFERROR(I13/D13,""))</f>
        <v/>
      </c>
      <c r="K13" s="12" t="n"/>
      <c r="L13" s="10">
        <f>IF(OR(C13="",K13=""),"",IFERROR(K13/C13,""))</f>
        <v/>
      </c>
      <c r="M13" s="12" t="n"/>
      <c r="N13" s="12" t="n"/>
      <c r="O13" s="12" t="n"/>
    </row>
    <row r="14">
      <c r="A14" s="12" t="n"/>
      <c r="B14" s="12" t="n"/>
      <c r="C14" s="12" t="n"/>
      <c r="D14" s="12" t="n"/>
      <c r="E14" s="12" t="n"/>
      <c r="F14" s="12" t="n"/>
      <c r="G14" s="10">
        <f>IF(OR(C14="",D14=""),"",IFERROR(D14/C14,""))</f>
        <v/>
      </c>
      <c r="H14" s="10">
        <f>IF(OR(E14="",F14=""),"",IFERROR(F14/E14,""))</f>
        <v/>
      </c>
      <c r="I14" s="12" t="n"/>
      <c r="J14" s="10">
        <f>IF(OR(D14="",I14=""),"",IFERROR(I14/D14,""))</f>
        <v/>
      </c>
      <c r="K14" s="12" t="n"/>
      <c r="L14" s="10">
        <f>IF(OR(C14="",K14=""),"",IFERROR(K14/C14,""))</f>
        <v/>
      </c>
      <c r="M14" s="12" t="n"/>
      <c r="N14" s="12" t="n"/>
      <c r="O14" s="12" t="n"/>
    </row>
    <row r="15">
      <c r="A15" s="12" t="n"/>
      <c r="B15" s="12" t="n"/>
      <c r="C15" s="12" t="n"/>
      <c r="D15" s="12" t="n"/>
      <c r="E15" s="12" t="n"/>
      <c r="F15" s="12" t="n"/>
      <c r="G15" s="10">
        <f>IF(OR(C15="",D15=""),"",IFERROR(D15/C15,""))</f>
        <v/>
      </c>
      <c r="H15" s="10">
        <f>IF(OR(E15="",F15=""),"",IFERROR(F15/E15,""))</f>
        <v/>
      </c>
      <c r="I15" s="12" t="n"/>
      <c r="J15" s="10">
        <f>IF(OR(D15="",I15=""),"",IFERROR(I15/D15,""))</f>
        <v/>
      </c>
      <c r="K15" s="12" t="n"/>
      <c r="L15" s="10">
        <f>IF(OR(C15="",K15=""),"",IFERROR(K15/C15,""))</f>
        <v/>
      </c>
      <c r="M15" s="12" t="n"/>
      <c r="N15" s="12" t="n"/>
      <c r="O15" s="12" t="n"/>
    </row>
    <row r="16">
      <c r="A16" s="12" t="n"/>
      <c r="B16" s="12" t="n"/>
      <c r="C16" s="12" t="n"/>
      <c r="D16" s="12" t="n"/>
      <c r="E16" s="12" t="n"/>
      <c r="F16" s="12" t="n"/>
      <c r="G16" s="10">
        <f>IF(OR(C16="",D16=""),"",IFERROR(D16/C16,""))</f>
        <v/>
      </c>
      <c r="H16" s="10">
        <f>IF(OR(E16="",F16=""),"",IFERROR(F16/E16,""))</f>
        <v/>
      </c>
      <c r="I16" s="12" t="n"/>
      <c r="J16" s="10">
        <f>IF(OR(D16="",I16=""),"",IFERROR(I16/D16,""))</f>
        <v/>
      </c>
      <c r="K16" s="12" t="n"/>
      <c r="L16" s="10">
        <f>IF(OR(C16="",K16=""),"",IFERROR(K16/C16,""))</f>
        <v/>
      </c>
      <c r="M16" s="12" t="n"/>
      <c r="N16" s="12" t="n"/>
      <c r="O16" s="12" t="n"/>
    </row>
    <row r="17">
      <c r="A17" s="12" t="n"/>
      <c r="B17" s="12" t="n"/>
      <c r="C17" s="12" t="n"/>
      <c r="D17" s="12" t="n"/>
      <c r="E17" s="12" t="n"/>
      <c r="F17" s="12" t="n"/>
      <c r="G17" s="10">
        <f>IF(OR(C17="",D17=""),"",IFERROR(D17/C17,""))</f>
        <v/>
      </c>
      <c r="H17" s="10">
        <f>IF(OR(E17="",F17=""),"",IFERROR(F17/E17,""))</f>
        <v/>
      </c>
      <c r="I17" s="12" t="n"/>
      <c r="J17" s="10">
        <f>IF(OR(D17="",I17=""),"",IFERROR(I17/D17,""))</f>
        <v/>
      </c>
      <c r="K17" s="12" t="n"/>
      <c r="L17" s="10">
        <f>IF(OR(C17="",K17=""),"",IFERROR(K17/C17,""))</f>
        <v/>
      </c>
      <c r="M17" s="12" t="n"/>
      <c r="N17" s="12" t="n"/>
      <c r="O17" s="12" t="n"/>
    </row>
    <row r="18">
      <c r="A18" s="12" t="n"/>
      <c r="B18" s="12" t="n"/>
      <c r="C18" s="12" t="n"/>
      <c r="D18" s="12" t="n"/>
      <c r="E18" s="12" t="n"/>
      <c r="F18" s="12" t="n"/>
      <c r="G18" s="10">
        <f>IF(OR(C18="",D18=""),"",IFERROR(D18/C18,""))</f>
        <v/>
      </c>
      <c r="H18" s="10">
        <f>IF(OR(E18="",F18=""),"",IFERROR(F18/E18,""))</f>
        <v/>
      </c>
      <c r="I18" s="12" t="n"/>
      <c r="J18" s="10">
        <f>IF(OR(D18="",I18=""),"",IFERROR(I18/D18,""))</f>
        <v/>
      </c>
      <c r="K18" s="12" t="n"/>
      <c r="L18" s="10">
        <f>IF(OR(C18="",K18=""),"",IFERROR(K18/C18,""))</f>
        <v/>
      </c>
      <c r="M18" s="12" t="n"/>
      <c r="N18" s="12" t="n"/>
      <c r="O18" s="12" t="n"/>
    </row>
    <row r="19">
      <c r="A19" s="12" t="n"/>
      <c r="B19" s="12" t="n"/>
      <c r="C19" s="12" t="n"/>
      <c r="D19" s="12" t="n"/>
      <c r="E19" s="12" t="n"/>
      <c r="F19" s="12" t="n"/>
      <c r="G19" s="10">
        <f>IF(OR(C19="",D19=""),"",IFERROR(D19/C19,""))</f>
        <v/>
      </c>
      <c r="H19" s="10">
        <f>IF(OR(E19="",F19=""),"",IFERROR(F19/E19,""))</f>
        <v/>
      </c>
      <c r="I19" s="12" t="n"/>
      <c r="J19" s="10">
        <f>IF(OR(D19="",I19=""),"",IFERROR(I19/D19,""))</f>
        <v/>
      </c>
      <c r="K19" s="12" t="n"/>
      <c r="L19" s="10">
        <f>IF(OR(C19="",K19=""),"",IFERROR(K19/C19,""))</f>
        <v/>
      </c>
      <c r="M19" s="12" t="n"/>
      <c r="N19" s="12" t="n"/>
      <c r="O19" s="12" t="n"/>
    </row>
    <row r="20">
      <c r="A20" s="12" t="n"/>
      <c r="B20" s="12" t="n"/>
      <c r="C20" s="12" t="n"/>
      <c r="D20" s="12" t="n"/>
      <c r="E20" s="12" t="n"/>
      <c r="F20" s="12" t="n"/>
      <c r="G20" s="10">
        <f>IF(OR(C20="",D20=""),"",IFERROR(D20/C20,""))</f>
        <v/>
      </c>
      <c r="H20" s="10">
        <f>IF(OR(E20="",F20=""),"",IFERROR(F20/E20,""))</f>
        <v/>
      </c>
      <c r="I20" s="12" t="n"/>
      <c r="J20" s="10">
        <f>IF(OR(D20="",I20=""),"",IFERROR(I20/D20,""))</f>
        <v/>
      </c>
      <c r="K20" s="12" t="n"/>
      <c r="L20" s="10">
        <f>IF(OR(C20="",K20=""),"",IFERROR(K20/C20,""))</f>
        <v/>
      </c>
      <c r="M20" s="12" t="n"/>
      <c r="N20" s="12" t="n"/>
      <c r="O20" s="12" t="n"/>
    </row>
    <row r="21">
      <c r="A21" s="12" t="n"/>
      <c r="B21" s="12" t="n"/>
      <c r="C21" s="12" t="n"/>
      <c r="D21" s="12" t="n"/>
      <c r="E21" s="12" t="n"/>
      <c r="F21" s="12" t="n"/>
      <c r="G21" s="10">
        <f>IF(OR(C21="",D21=""),"",IFERROR(D21/C21,""))</f>
        <v/>
      </c>
      <c r="H21" s="10">
        <f>IF(OR(E21="",F21=""),"",IFERROR(F21/E21,""))</f>
        <v/>
      </c>
      <c r="I21" s="12" t="n"/>
      <c r="J21" s="10">
        <f>IF(OR(D21="",I21=""),"",IFERROR(I21/D21,""))</f>
        <v/>
      </c>
      <c r="K21" s="12" t="n"/>
      <c r="L21" s="10">
        <f>IF(OR(C21="",K21=""),"",IFERROR(K21/C21,""))</f>
        <v/>
      </c>
      <c r="M21" s="12" t="n"/>
      <c r="N21" s="12" t="n"/>
      <c r="O21" s="12" t="n"/>
    </row>
    <row r="22">
      <c r="A22" s="12" t="n"/>
      <c r="B22" s="12" t="n"/>
      <c r="C22" s="12" t="n"/>
      <c r="D22" s="12" t="n"/>
      <c r="E22" s="12" t="n"/>
      <c r="F22" s="12" t="n"/>
      <c r="G22" s="10">
        <f>IF(OR(C22="",D22=""),"",IFERROR(D22/C22,""))</f>
        <v/>
      </c>
      <c r="H22" s="10">
        <f>IF(OR(E22="",F22=""),"",IFERROR(F22/E22,""))</f>
        <v/>
      </c>
      <c r="I22" s="12" t="n"/>
      <c r="J22" s="10">
        <f>IF(OR(D22="",I22=""),"",IFERROR(I22/D22,""))</f>
        <v/>
      </c>
      <c r="K22" s="12" t="n"/>
      <c r="L22" s="10">
        <f>IF(OR(C22="",K22=""),"",IFERROR(K22/C22,""))</f>
        <v/>
      </c>
      <c r="M22" s="12" t="n"/>
      <c r="N22" s="12" t="n"/>
      <c r="O22" s="12" t="n"/>
    </row>
    <row r="23">
      <c r="A23" s="12" t="n"/>
      <c r="B23" s="12" t="n"/>
      <c r="C23" s="12" t="n"/>
      <c r="D23" s="12" t="n"/>
      <c r="E23" s="12" t="n"/>
      <c r="F23" s="12" t="n"/>
      <c r="G23" s="10">
        <f>IF(OR(C23="",D23=""),"",IFERROR(D23/C23,""))</f>
        <v/>
      </c>
      <c r="H23" s="10">
        <f>IF(OR(E23="",F23=""),"",IFERROR(F23/E23,""))</f>
        <v/>
      </c>
      <c r="I23" s="12" t="n"/>
      <c r="J23" s="10">
        <f>IF(OR(D23="",I23=""),"",IFERROR(I23/D23,""))</f>
        <v/>
      </c>
      <c r="K23" s="12" t="n"/>
      <c r="L23" s="10">
        <f>IF(OR(C23="",K23=""),"",IFERROR(K23/C23,""))</f>
        <v/>
      </c>
      <c r="M23" s="12" t="n"/>
      <c r="N23" s="12" t="n"/>
      <c r="O23" s="12" t="n"/>
    </row>
    <row r="24">
      <c r="A24" s="12" t="n"/>
      <c r="B24" s="12" t="n"/>
      <c r="C24" s="12" t="n"/>
      <c r="D24" s="12" t="n"/>
      <c r="E24" s="12" t="n"/>
      <c r="F24" s="12" t="n"/>
      <c r="G24" s="10">
        <f>IF(OR(C24="",D24=""),"",IFERROR(D24/C24,""))</f>
        <v/>
      </c>
      <c r="H24" s="10">
        <f>IF(OR(E24="",F24=""),"",IFERROR(F24/E24,""))</f>
        <v/>
      </c>
      <c r="I24" s="12" t="n"/>
      <c r="J24" s="10">
        <f>IF(OR(D24="",I24=""),"",IFERROR(I24/D24,""))</f>
        <v/>
      </c>
      <c r="K24" s="12" t="n"/>
      <c r="L24" s="10">
        <f>IF(OR(C24="",K24=""),"",IFERROR(K24/C24,""))</f>
        <v/>
      </c>
      <c r="M24" s="12" t="n"/>
      <c r="N24" s="12" t="n"/>
      <c r="O24" s="12" t="n"/>
    </row>
    <row r="25">
      <c r="A25" s="12" t="n"/>
      <c r="B25" s="12" t="n"/>
      <c r="C25" s="12" t="n"/>
      <c r="D25" s="12" t="n"/>
      <c r="E25" s="12" t="n"/>
      <c r="F25" s="12" t="n"/>
      <c r="G25" s="10">
        <f>IF(OR(C25="",D25=""),"",IFERROR(D25/C25,""))</f>
        <v/>
      </c>
      <c r="H25" s="10">
        <f>IF(OR(E25="",F25=""),"",IFERROR(F25/E25,""))</f>
        <v/>
      </c>
      <c r="I25" s="12" t="n"/>
      <c r="J25" s="10">
        <f>IF(OR(D25="",I25=""),"",IFERROR(I25/D25,""))</f>
        <v/>
      </c>
      <c r="K25" s="12" t="n"/>
      <c r="L25" s="10">
        <f>IF(OR(C25="",K25=""),"",IFERROR(K25/C25,""))</f>
        <v/>
      </c>
      <c r="M25" s="12" t="n"/>
      <c r="N25" s="12" t="n"/>
      <c r="O25" s="12" t="n"/>
    </row>
    <row r="26">
      <c r="A26" s="12" t="n"/>
      <c r="B26" s="12" t="n"/>
      <c r="C26" s="12" t="n"/>
      <c r="D26" s="12" t="n"/>
      <c r="E26" s="12" t="n"/>
      <c r="F26" s="12" t="n"/>
      <c r="G26" s="10">
        <f>IF(OR(C26="",D26=""),"",IFERROR(D26/C26,""))</f>
        <v/>
      </c>
      <c r="H26" s="10">
        <f>IF(OR(E26="",F26=""),"",IFERROR(F26/E26,""))</f>
        <v/>
      </c>
      <c r="I26" s="12" t="n"/>
      <c r="J26" s="10">
        <f>IF(OR(D26="",I26=""),"",IFERROR(I26/D26,""))</f>
        <v/>
      </c>
      <c r="K26" s="12" t="n"/>
      <c r="L26" s="10">
        <f>IF(OR(C26="",K26=""),"",IFERROR(K26/C26,""))</f>
        <v/>
      </c>
      <c r="M26" s="12" t="n"/>
      <c r="N26" s="12" t="n"/>
      <c r="O26" s="12" t="n"/>
    </row>
    <row r="27">
      <c r="A27" s="12" t="n"/>
      <c r="B27" s="12" t="n"/>
      <c r="C27" s="12" t="n"/>
      <c r="D27" s="12" t="n"/>
      <c r="E27" s="12" t="n"/>
      <c r="F27" s="12" t="n"/>
      <c r="G27" s="10">
        <f>IF(OR(C27="",D27=""),"",IFERROR(D27/C27,""))</f>
        <v/>
      </c>
      <c r="H27" s="10">
        <f>IF(OR(E27="",F27=""),"",IFERROR(F27/E27,""))</f>
        <v/>
      </c>
      <c r="I27" s="12" t="n"/>
      <c r="J27" s="10">
        <f>IF(OR(D27="",I27=""),"",IFERROR(I27/D27,""))</f>
        <v/>
      </c>
      <c r="K27" s="12" t="n"/>
      <c r="L27" s="10">
        <f>IF(OR(C27="",K27=""),"",IFERROR(K27/C27,""))</f>
        <v/>
      </c>
      <c r="M27" s="12" t="n"/>
      <c r="N27" s="12" t="n"/>
      <c r="O27" s="12" t="n"/>
    </row>
    <row r="28">
      <c r="A28" s="12" t="n"/>
      <c r="B28" s="12" t="n"/>
      <c r="C28" s="12" t="n"/>
      <c r="D28" s="12" t="n"/>
      <c r="E28" s="12" t="n"/>
      <c r="F28" s="12" t="n"/>
      <c r="G28" s="10">
        <f>IF(OR(C28="",D28=""),"",IFERROR(D28/C28,""))</f>
        <v/>
      </c>
      <c r="H28" s="10">
        <f>IF(OR(E28="",F28=""),"",IFERROR(F28/E28,""))</f>
        <v/>
      </c>
      <c r="I28" s="12" t="n"/>
      <c r="J28" s="10">
        <f>IF(OR(D28="",I28=""),"",IFERROR(I28/D28,""))</f>
        <v/>
      </c>
      <c r="K28" s="12" t="n"/>
      <c r="L28" s="10">
        <f>IF(OR(C28="",K28=""),"",IFERROR(K28/C28,""))</f>
        <v/>
      </c>
      <c r="M28" s="12" t="n"/>
      <c r="N28" s="12" t="n"/>
      <c r="O28" s="12" t="n"/>
    </row>
    <row r="29">
      <c r="A29" s="12" t="n"/>
      <c r="B29" s="12" t="n"/>
      <c r="C29" s="12" t="n"/>
      <c r="D29" s="12" t="n"/>
      <c r="E29" s="12" t="n"/>
      <c r="F29" s="12" t="n"/>
      <c r="G29" s="10">
        <f>IF(OR(C29="",D29=""),"",IFERROR(D29/C29,""))</f>
        <v/>
      </c>
      <c r="H29" s="10">
        <f>IF(OR(E29="",F29=""),"",IFERROR(F29/E29,""))</f>
        <v/>
      </c>
      <c r="I29" s="12" t="n"/>
      <c r="J29" s="10">
        <f>IF(OR(D29="",I29=""),"",IFERROR(I29/D29,""))</f>
        <v/>
      </c>
      <c r="K29" s="12" t="n"/>
      <c r="L29" s="10">
        <f>IF(OR(C29="",K29=""),"",IFERROR(K29/C29,""))</f>
        <v/>
      </c>
      <c r="M29" s="12" t="n"/>
      <c r="N29" s="12" t="n"/>
      <c r="O29" s="12" t="n"/>
    </row>
    <row r="30">
      <c r="A30" s="12" t="n"/>
      <c r="B30" s="12" t="n"/>
      <c r="C30" s="12" t="n"/>
      <c r="D30" s="12" t="n"/>
      <c r="E30" s="12" t="n"/>
      <c r="F30" s="12" t="n"/>
      <c r="G30" s="10">
        <f>IF(OR(C30="",D30=""),"",IFERROR(D30/C30,""))</f>
        <v/>
      </c>
      <c r="H30" s="10">
        <f>IF(OR(E30="",F30=""),"",IFERROR(F30/E30,""))</f>
        <v/>
      </c>
      <c r="I30" s="12" t="n"/>
      <c r="J30" s="10">
        <f>IF(OR(D30="",I30=""),"",IFERROR(I30/D30,""))</f>
        <v/>
      </c>
      <c r="K30" s="12" t="n"/>
      <c r="L30" s="10">
        <f>IF(OR(C30="",K30=""),"",IFERROR(K30/C30,""))</f>
        <v/>
      </c>
      <c r="M30" s="12" t="n"/>
      <c r="N30" s="12" t="n"/>
      <c r="O30" s="12" t="n"/>
    </row>
    <row r="31">
      <c r="A31" s="12" t="n"/>
      <c r="B31" s="12" t="n"/>
      <c r="C31" s="12" t="n"/>
      <c r="D31" s="12" t="n"/>
      <c r="E31" s="12" t="n"/>
      <c r="F31" s="12" t="n"/>
      <c r="G31" s="10">
        <f>IF(OR(C31="",D31=""),"",IFERROR(D31/C31,""))</f>
        <v/>
      </c>
      <c r="H31" s="10">
        <f>IF(OR(E31="",F31=""),"",IFERROR(F31/E31,""))</f>
        <v/>
      </c>
      <c r="I31" s="12" t="n"/>
      <c r="J31" s="10">
        <f>IF(OR(D31="",I31=""),"",IFERROR(I31/D31,""))</f>
        <v/>
      </c>
      <c r="K31" s="12" t="n"/>
      <c r="L31" s="10">
        <f>IF(OR(C31="",K31=""),"",IFERROR(K31/C31,""))</f>
        <v/>
      </c>
      <c r="M31" s="12" t="n"/>
      <c r="N31" s="12" t="n"/>
      <c r="O31" s="12" t="n"/>
    </row>
    <row r="32">
      <c r="A32" s="12" t="n"/>
      <c r="B32" s="12" t="n"/>
      <c r="C32" s="12" t="n"/>
      <c r="D32" s="12" t="n"/>
      <c r="E32" s="12" t="n"/>
      <c r="F32" s="12" t="n"/>
      <c r="G32" s="10">
        <f>IF(OR(C32="",D32=""),"",IFERROR(D32/C32,""))</f>
        <v/>
      </c>
      <c r="H32" s="10">
        <f>IF(OR(E32="",F32=""),"",IFERROR(F32/E32,""))</f>
        <v/>
      </c>
      <c r="I32" s="12" t="n"/>
      <c r="J32" s="10">
        <f>IF(OR(D32="",I32=""),"",IFERROR(I32/D32,""))</f>
        <v/>
      </c>
      <c r="K32" s="12" t="n"/>
      <c r="L32" s="10">
        <f>IF(OR(C32="",K32=""),"",IFERROR(K32/C32,""))</f>
        <v/>
      </c>
      <c r="M32" s="12" t="n"/>
      <c r="N32" s="12" t="n"/>
      <c r="O32" s="12" t="n"/>
    </row>
    <row r="33">
      <c r="A33" s="12" t="n"/>
      <c r="B33" s="12" t="n"/>
      <c r="C33" s="12" t="n"/>
      <c r="D33" s="12" t="n"/>
      <c r="E33" s="12" t="n"/>
      <c r="F33" s="12" t="n"/>
      <c r="G33" s="10">
        <f>IF(OR(C33="",D33=""),"",IFERROR(D33/C33,""))</f>
        <v/>
      </c>
      <c r="H33" s="10">
        <f>IF(OR(E33="",F33=""),"",IFERROR(F33/E33,""))</f>
        <v/>
      </c>
      <c r="I33" s="12" t="n"/>
      <c r="J33" s="10">
        <f>IF(OR(D33="",I33=""),"",IFERROR(I33/D33,""))</f>
        <v/>
      </c>
      <c r="K33" s="12" t="n"/>
      <c r="L33" s="10">
        <f>IF(OR(C33="",K33=""),"",IFERROR(K33/C33,""))</f>
        <v/>
      </c>
      <c r="M33" s="12" t="n"/>
      <c r="N33" s="12" t="n"/>
      <c r="O33" s="12" t="n"/>
    </row>
    <row r="34">
      <c r="A34" s="12" t="n"/>
      <c r="B34" s="12" t="n"/>
      <c r="C34" s="12" t="n"/>
      <c r="D34" s="12" t="n"/>
      <c r="E34" s="12" t="n"/>
      <c r="F34" s="12" t="n"/>
      <c r="G34" s="10">
        <f>IF(OR(C34="",D34=""),"",IFERROR(D34/C34,""))</f>
        <v/>
      </c>
      <c r="H34" s="10">
        <f>IF(OR(E34="",F34=""),"",IFERROR(F34/E34,""))</f>
        <v/>
      </c>
      <c r="I34" s="12" t="n"/>
      <c r="J34" s="10">
        <f>IF(OR(D34="",I34=""),"",IFERROR(I34/D34,""))</f>
        <v/>
      </c>
      <c r="K34" s="12" t="n"/>
      <c r="L34" s="10">
        <f>IF(OR(C34="",K34=""),"",IFERROR(K34/C34,""))</f>
        <v/>
      </c>
      <c r="M34" s="12" t="n"/>
      <c r="N34" s="12" t="n"/>
      <c r="O34" s="12" t="n"/>
    </row>
    <row r="35">
      <c r="A35" s="12" t="n"/>
      <c r="B35" s="12" t="n"/>
      <c r="C35" s="12" t="n"/>
      <c r="D35" s="12" t="n"/>
      <c r="E35" s="12" t="n"/>
      <c r="F35" s="12" t="n"/>
      <c r="G35" s="10">
        <f>IF(OR(C35="",D35=""),"",IFERROR(D35/C35,""))</f>
        <v/>
      </c>
      <c r="H35" s="10">
        <f>IF(OR(E35="",F35=""),"",IFERROR(F35/E35,""))</f>
        <v/>
      </c>
      <c r="I35" s="12" t="n"/>
      <c r="J35" s="10">
        <f>IF(OR(D35="",I35=""),"",IFERROR(I35/D35,""))</f>
        <v/>
      </c>
      <c r="K35" s="12" t="n"/>
      <c r="L35" s="10">
        <f>IF(OR(C35="",K35=""),"",IFERROR(K35/C35,""))</f>
        <v/>
      </c>
      <c r="M35" s="12" t="n"/>
      <c r="N35" s="12" t="n"/>
      <c r="O35" s="12" t="n"/>
    </row>
    <row r="36">
      <c r="A36" s="12" t="n"/>
      <c r="B36" s="12" t="n"/>
      <c r="C36" s="12" t="n"/>
      <c r="D36" s="12" t="n"/>
      <c r="E36" s="12" t="n"/>
      <c r="F36" s="12" t="n"/>
      <c r="G36" s="10">
        <f>IF(OR(C36="",D36=""),"",IFERROR(D36/C36,""))</f>
        <v/>
      </c>
      <c r="H36" s="10">
        <f>IF(OR(E36="",F36=""),"",IFERROR(F36/E36,""))</f>
        <v/>
      </c>
      <c r="I36" s="12" t="n"/>
      <c r="J36" s="10">
        <f>IF(OR(D36="",I36=""),"",IFERROR(I36/D36,""))</f>
        <v/>
      </c>
      <c r="K36" s="12" t="n"/>
      <c r="L36" s="10">
        <f>IF(OR(C36="",K36=""),"",IFERROR(K36/C36,""))</f>
        <v/>
      </c>
      <c r="M36" s="12" t="n"/>
      <c r="N36" s="12" t="n"/>
      <c r="O36" s="12" t="n"/>
    </row>
    <row r="37">
      <c r="A37" s="12" t="n"/>
      <c r="B37" s="12" t="n"/>
      <c r="C37" s="12" t="n"/>
      <c r="D37" s="12" t="n"/>
      <c r="E37" s="12" t="n"/>
      <c r="F37" s="12" t="n"/>
      <c r="G37" s="10">
        <f>IF(OR(C37="",D37=""),"",IFERROR(D37/C37,""))</f>
        <v/>
      </c>
      <c r="H37" s="10">
        <f>IF(OR(E37="",F37=""),"",IFERROR(F37/E37,""))</f>
        <v/>
      </c>
      <c r="I37" s="12" t="n"/>
      <c r="J37" s="10">
        <f>IF(OR(D37="",I37=""),"",IFERROR(I37/D37,""))</f>
        <v/>
      </c>
      <c r="K37" s="12" t="n"/>
      <c r="L37" s="10">
        <f>IF(OR(C37="",K37=""),"",IFERROR(K37/C37,""))</f>
        <v/>
      </c>
      <c r="M37" s="12" t="n"/>
      <c r="N37" s="12" t="n"/>
      <c r="O37" s="12" t="n"/>
    </row>
    <row r="38">
      <c r="A38" s="12" t="n"/>
      <c r="B38" s="12" t="n"/>
      <c r="C38" s="12" t="n"/>
      <c r="D38" s="12" t="n"/>
      <c r="E38" s="12" t="n"/>
      <c r="F38" s="12" t="n"/>
      <c r="G38" s="10">
        <f>IF(OR(C38="",D38=""),"",IFERROR(D38/C38,""))</f>
        <v/>
      </c>
      <c r="H38" s="10">
        <f>IF(OR(E38="",F38=""),"",IFERROR(F38/E38,""))</f>
        <v/>
      </c>
      <c r="I38" s="12" t="n"/>
      <c r="J38" s="10">
        <f>IF(OR(D38="",I38=""),"",IFERROR(I38/D38,""))</f>
        <v/>
      </c>
      <c r="K38" s="12" t="n"/>
      <c r="L38" s="10">
        <f>IF(OR(C38="",K38=""),"",IFERROR(K38/C38,""))</f>
        <v/>
      </c>
      <c r="M38" s="12" t="n"/>
      <c r="N38" s="12" t="n"/>
      <c r="O38" s="12" t="n"/>
    </row>
    <row r="39">
      <c r="A39" s="12" t="n"/>
      <c r="B39" s="12" t="n"/>
      <c r="C39" s="12" t="n"/>
      <c r="D39" s="12" t="n"/>
      <c r="E39" s="12" t="n"/>
      <c r="F39" s="12" t="n"/>
      <c r="G39" s="10">
        <f>IF(OR(C39="",D39=""),"",IFERROR(D39/C39,""))</f>
        <v/>
      </c>
      <c r="H39" s="10">
        <f>IF(OR(E39="",F39=""),"",IFERROR(F39/E39,""))</f>
        <v/>
      </c>
      <c r="I39" s="12" t="n"/>
      <c r="J39" s="10">
        <f>IF(OR(D39="",I39=""),"",IFERROR(I39/D39,""))</f>
        <v/>
      </c>
      <c r="K39" s="12" t="n"/>
      <c r="L39" s="10">
        <f>IF(OR(C39="",K39=""),"",IFERROR(K39/C39,""))</f>
        <v/>
      </c>
      <c r="M39" s="12" t="n"/>
      <c r="N39" s="12" t="n"/>
      <c r="O39" s="12" t="n"/>
    </row>
  </sheetData>
  <mergeCells count="2">
    <mergeCell ref="A1:O1"/>
    <mergeCell ref="A2:O2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17466B"/>
    <outlinePr summaryBelow="1" summaryRight="1"/>
    <pageSetUpPr fitToPage="1"/>
  </sheetPr>
  <dimension ref="A1:F1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6" customWidth="1" min="2" max="2"/>
    <col width="20" customWidth="1" min="3" max="3"/>
    <col width="27" customWidth="1" min="4" max="4"/>
    <col width="34" customWidth="1" min="5" max="5"/>
    <col width="29" customWidth="1" min="6" max="6"/>
  </cols>
  <sheetData>
    <row r="1" ht="27" customHeight="1">
      <c r="A1" s="5" t="inlineStr">
        <is>
          <t>Monthly Risk Paper | Working outline</t>
        </is>
      </c>
    </row>
    <row r="2" ht="30" customHeight="1">
      <c r="A2" s="6" t="inlineStr">
        <is>
          <t>Populate using authorised sources. Separate fact, interpretation, action and decision request.</t>
        </is>
      </c>
    </row>
    <row r="3" ht="34" customHeight="1">
      <c r="A3" s="7" t="inlineStr">
        <is>
          <t>Section</t>
        </is>
      </c>
      <c r="B3" s="7" t="inlineStr">
        <is>
          <t>Prompt</t>
        </is>
      </c>
      <c r="C3" s="7" t="inlineStr">
        <is>
          <t>Reporting period</t>
        </is>
      </c>
      <c r="D3" s="7" t="inlineStr">
        <is>
          <t>Source / owner</t>
        </is>
      </c>
      <c r="E3" s="7" t="inlineStr">
        <is>
          <t>Reviewer comments</t>
        </is>
      </c>
      <c r="F3" s="7" t="inlineStr">
        <is>
          <t>Status / action owner</t>
        </is>
      </c>
    </row>
    <row r="4" ht="42" customHeight="1">
      <c r="A4" s="8" t="inlineStr">
        <is>
          <t>Executive summary</t>
        </is>
      </c>
      <c r="B4" s="8" t="inlineStr">
        <is>
          <t>Material movements, breaches, decisions required</t>
        </is>
      </c>
      <c r="C4" s="8" t="inlineStr"/>
      <c r="D4" s="8" t="inlineStr"/>
      <c r="E4" s="8" t="inlineStr"/>
      <c r="F4" s="8" t="inlineStr"/>
    </row>
    <row r="5" ht="42" customHeight="1">
      <c r="A5" s="8" t="inlineStr">
        <is>
          <t>Portfolio / vintage</t>
        </is>
      </c>
      <c r="B5" s="8" t="inlineStr">
        <is>
          <t>AUM, disbursals, product/vintage quality, concentration</t>
        </is>
      </c>
      <c r="C5" s="8" t="inlineStr"/>
      <c r="D5" s="8" t="inlineStr"/>
      <c r="E5" s="8" t="inlineStr"/>
      <c r="F5" s="8" t="inlineStr"/>
    </row>
    <row r="6" ht="42" customHeight="1">
      <c r="A6" s="8" t="inlineStr">
        <is>
          <t>Credit / EWS</t>
        </is>
      </c>
      <c r="B6" s="8" t="inlineStr">
        <is>
          <t>DPD, Stage movement, EWS alerts, cure and ECL</t>
        </is>
      </c>
      <c r="C6" s="8" t="inlineStr"/>
      <c r="D6" s="8" t="inlineStr"/>
      <c r="E6" s="8" t="inlineStr"/>
      <c r="F6" s="8" t="inlineStr"/>
    </row>
    <row r="7" ht="42" customHeight="1">
      <c r="A7" s="8" t="inlineStr">
        <is>
          <t>Bounce / collections</t>
        </is>
      </c>
      <c r="B7" s="8" t="inlineStr">
        <is>
          <t>Presentments, return codes, cure, recovery, conduct</t>
        </is>
      </c>
      <c r="C7" s="8" t="inlineStr"/>
      <c r="D7" s="8" t="inlineStr"/>
      <c r="E7" s="8" t="inlineStr"/>
      <c r="F7" s="8" t="inlineStr"/>
    </row>
    <row r="8" ht="42" customHeight="1">
      <c r="A8" s="8" t="inlineStr">
        <is>
          <t>Funding / ALM</t>
        </is>
      </c>
      <c r="B8" s="8" t="inlineStr">
        <is>
          <t>Maturity, liquidity, repricing, FX/hedge, concentration</t>
        </is>
      </c>
      <c r="C8" s="8" t="inlineStr"/>
      <c r="D8" s="8" t="inlineStr"/>
      <c r="E8" s="8" t="inlineStr"/>
      <c r="F8" s="8" t="inlineStr"/>
    </row>
    <row r="9" ht="42" customHeight="1">
      <c r="A9" s="8" t="inlineStr">
        <is>
          <t>Operational / cyber</t>
        </is>
      </c>
      <c r="B9" s="8" t="inlineStr">
        <is>
          <t>Incidents, audit findings, BCP, vendor and data quality</t>
        </is>
      </c>
      <c r="C9" s="8" t="inlineStr"/>
      <c r="D9" s="8" t="inlineStr"/>
      <c r="E9" s="8" t="inlineStr"/>
      <c r="F9" s="8" t="inlineStr"/>
    </row>
    <row r="10" ht="42" customHeight="1">
      <c r="A10" s="8" t="inlineStr">
        <is>
          <t>Customer / compliance</t>
        </is>
      </c>
      <c r="B10" s="8" t="inlineStr">
        <is>
          <t>Complaints, regulatory change, service and conduct</t>
        </is>
      </c>
      <c r="C10" s="8" t="inlineStr"/>
      <c r="D10" s="8" t="inlineStr"/>
      <c r="E10" s="8" t="inlineStr"/>
      <c r="F10" s="8" t="inlineStr"/>
    </row>
    <row r="11" ht="42" customHeight="1">
      <c r="A11" s="8" t="inlineStr">
        <is>
          <t>Actions</t>
        </is>
      </c>
      <c r="B11" s="8" t="inlineStr">
        <is>
          <t>Owner, due date, evidence, overdue items and escalation</t>
        </is>
      </c>
      <c r="C11" s="8" t="inlineStr"/>
      <c r="D11" s="8" t="inlineStr"/>
      <c r="E11" s="8" t="inlineStr"/>
      <c r="F11" s="8" t="inlineStr"/>
    </row>
  </sheetData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17466B"/>
    <outlinePr summaryBelow="1" summaryRight="1"/>
    <pageSetUpPr fitToPage="1"/>
  </sheetPr>
  <dimension ref="A1:H1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3" customWidth="1" min="3" max="3"/>
    <col width="30" customWidth="1" min="4" max="4"/>
    <col width="34" customWidth="1" min="5" max="5"/>
    <col width="22" customWidth="1" min="6" max="6"/>
    <col width="17" customWidth="1" min="7" max="7"/>
    <col width="38" customWidth="1" min="8" max="8"/>
  </cols>
  <sheetData>
    <row r="1" ht="27" customHeight="1">
      <c r="A1" s="5" t="inlineStr">
        <is>
          <t>Quarterly RMC Pack | Preparation and Action Log</t>
        </is>
      </c>
    </row>
    <row r="2" ht="32" customHeight="1">
      <c r="A2" s="6" t="inlineStr">
        <is>
          <t>Template only. Confirm the current Risk Management Committee terms of reference and approved internal reporting requirements.</t>
        </is>
      </c>
    </row>
    <row r="3" ht="34" customHeight="1">
      <c r="A3" s="7" t="inlineStr">
        <is>
          <t>Agenda item</t>
        </is>
      </c>
      <c r="B3" s="7" t="inlineStr">
        <is>
          <t>Quarter / period</t>
        </is>
      </c>
      <c r="C3" s="7" t="inlineStr">
        <is>
          <t>Key movement / issue</t>
        </is>
      </c>
      <c r="D3" s="7" t="inlineStr">
        <is>
          <t>Evidence / source</t>
        </is>
      </c>
      <c r="E3" s="7" t="inlineStr">
        <is>
          <t>Decision requested</t>
        </is>
      </c>
      <c r="F3" s="7" t="inlineStr">
        <is>
          <t>Action owner</t>
        </is>
      </c>
      <c r="G3" s="7" t="inlineStr">
        <is>
          <t>Due date</t>
        </is>
      </c>
      <c r="H3" s="7" t="inlineStr">
        <is>
          <t>Status / closure evidence</t>
        </is>
      </c>
    </row>
    <row r="4" ht="38" customHeight="1">
      <c r="A4" s="8" t="inlineStr">
        <is>
          <t>Risk appetite / policy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</row>
    <row r="5" ht="38" customHeight="1">
      <c r="A5" s="8" t="inlineStr">
        <is>
          <t>Credit portfolio / product EWS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</row>
    <row r="6" ht="38" customHeight="1">
      <c r="A6" s="8" t="inlineStr">
        <is>
          <t>NPA / collections / bounce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</row>
    <row r="7" ht="38" customHeight="1">
      <c r="A7" s="8" t="inlineStr">
        <is>
          <t>Liquidity / ALM / funding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 ht="38" customHeight="1">
      <c r="A8" s="8" t="inlineStr">
        <is>
          <t>Capital / interest-rate / FX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 ht="38" customHeight="1">
      <c r="A9" s="8" t="inlineStr">
        <is>
          <t>Operational / fraud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 ht="38" customHeight="1">
      <c r="A10" s="8" t="inlineStr">
        <is>
          <t>Cyber / third party / BCP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 ht="38" customHeight="1">
      <c r="A11" s="8" t="inlineStr">
        <is>
          <t>Compliance / conduct / customer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 ht="38" customHeight="1">
      <c r="A12" s="8" t="inlineStr">
        <is>
          <t>Prior committee actions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Dattaguru Patil</dc:creator>
  <dc:title xmlns:dc="http://purl.org/dc/elements/1.1/">Fedfina Risk Analyst Internship Workbook</dc:title>
  <dc:subject xmlns:dc="http://purl.org/dc/elements/1.1/">FY2025-26 public trend series and blank risk-monitoring templates</dc:subject>
  <dcterms:created xmlns:dcterms="http://purl.org/dc/terms/" xmlns:xsi="http://www.w3.org/2001/XMLSchema-instance" xsi:type="dcterms:W3CDTF">2026-10-04T13:37:40Z</dcterms:created>
  <dcterms:modified xmlns:dcterms="http://purl.org/dc/terms/" xmlns:xsi="http://www.w3.org/2001/XMLSchema-instance" xsi:type="dcterms:W3CDTF">2026-10-04T13:37:40Z</dcterms:modified>
</cp:coreProperties>
</file>